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aman0\Documents\"/>
    </mc:Choice>
  </mc:AlternateContent>
  <xr:revisionPtr revIDLastSave="0" documentId="8_{D9CD08AC-CEF9-4C54-AC73-F15A1511BBD2}" xr6:coauthVersionLast="47" xr6:coauthVersionMax="47" xr10:uidLastSave="{00000000-0000-0000-0000-000000000000}"/>
  <bookViews>
    <workbookView xWindow="-110" yWindow="-110" windowWidth="19420" windowHeight="10300" firstSheet="4" activeTab="6" xr2:uid="{42515106-A5A7-4FA8-8A6A-5A3FEE49BD9E}"/>
  </bookViews>
  <sheets>
    <sheet name="Sheet2" sheetId="2" r:id="rId1"/>
    <sheet name="Sheet4" sheetId="5" r:id="rId2"/>
    <sheet name="Sheet5" sheetId="6" r:id="rId3"/>
    <sheet name="Sheet6" sheetId="7" r:id="rId4"/>
    <sheet name="Sheet8" sheetId="9" r:id="rId5"/>
    <sheet name="Sheet1" sheetId="1" r:id="rId6"/>
    <sheet name="SALES DASHBOARD 2025" sheetId="4" r:id="rId7"/>
  </sheets>
  <definedNames>
    <definedName name="Slicer_Months__Order_Date">#N/A</definedName>
    <definedName name="Slicer_Region1">#N/A</definedName>
    <definedName name="Slicer_Salesperson1">#N/A</definedName>
  </definedNames>
  <calcPr calcId="191029"/>
  <pivotCaches>
    <pivotCache cacheId="1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2" i="1"/>
</calcChain>
</file>

<file path=xl/sharedStrings.xml><?xml version="1.0" encoding="utf-8"?>
<sst xmlns="http://schemas.openxmlformats.org/spreadsheetml/2006/main" count="459" uniqueCount="143">
  <si>
    <t>Order ID</t>
  </si>
  <si>
    <t>Order Date</t>
  </si>
  <si>
    <t>Product</t>
  </si>
  <si>
    <t>Region</t>
  </si>
  <si>
    <t>Salesperson</t>
  </si>
  <si>
    <t>Units Sold</t>
  </si>
  <si>
    <t>Unit Price</t>
  </si>
  <si>
    <t>Total Sales</t>
  </si>
  <si>
    <t>ORD0001</t>
  </si>
  <si>
    <t>Keyboard</t>
  </si>
  <si>
    <t>West</t>
  </si>
  <si>
    <t>Amit</t>
  </si>
  <si>
    <t>ORD0002</t>
  </si>
  <si>
    <t>North</t>
  </si>
  <si>
    <t>ORD0003</t>
  </si>
  <si>
    <t>Tablet</t>
  </si>
  <si>
    <t>Karan</t>
  </si>
  <si>
    <t>ORD0004</t>
  </si>
  <si>
    <t>Laptop</t>
  </si>
  <si>
    <t>East</t>
  </si>
  <si>
    <t>Raj</t>
  </si>
  <si>
    <t>ORD0005</t>
  </si>
  <si>
    <t>Riya</t>
  </si>
  <si>
    <t>ORD0006</t>
  </si>
  <si>
    <t>Camera</t>
  </si>
  <si>
    <t>South</t>
  </si>
  <si>
    <t>Dev</t>
  </si>
  <si>
    <t>ORD0007</t>
  </si>
  <si>
    <t>Printer</t>
  </si>
  <si>
    <t>Neha</t>
  </si>
  <si>
    <t>ORD0008</t>
  </si>
  <si>
    <t>Speaker</t>
  </si>
  <si>
    <t>Priya</t>
  </si>
  <si>
    <t>ORD0009</t>
  </si>
  <si>
    <t>Monitor</t>
  </si>
  <si>
    <t>Sonia</t>
  </si>
  <si>
    <t>ORD0010</t>
  </si>
  <si>
    <t>ORD0011</t>
  </si>
  <si>
    <t>Vikram</t>
  </si>
  <si>
    <t>ORD0012</t>
  </si>
  <si>
    <t>ORD0013</t>
  </si>
  <si>
    <t>ORD0014</t>
  </si>
  <si>
    <t>ORD0015</t>
  </si>
  <si>
    <t>ORD0016</t>
  </si>
  <si>
    <t>ORD0017</t>
  </si>
  <si>
    <t>ORD0018</t>
  </si>
  <si>
    <t>Headphones</t>
  </si>
  <si>
    <t>ORD0019</t>
  </si>
  <si>
    <t>Mouse</t>
  </si>
  <si>
    <t>ORD0020</t>
  </si>
  <si>
    <t>ORD0021</t>
  </si>
  <si>
    <t>ORD0022</t>
  </si>
  <si>
    <t>ORD0023</t>
  </si>
  <si>
    <t>ORD0024</t>
  </si>
  <si>
    <t>ORD0025</t>
  </si>
  <si>
    <t>Smartphone</t>
  </si>
  <si>
    <t>Tina</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</si>
  <si>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</si>
  <si>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</si>
  <si>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</si>
  <si>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</si>
  <si>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</si>
  <si>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</si>
  <si>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</si>
  <si>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</si>
  <si>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</si>
  <si>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</si>
  <si>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</si>
  <si>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</si>
  <si>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</si>
  <si>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</si>
  <si>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</si>
  <si>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</si>
  <si>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</si>
  <si>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</si>
  <si>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</si>
  <si>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</si>
  <si>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</si>
  <si>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</si>
  <si>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</si>
  <si>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</si>
  <si>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</si>
  <si>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</si>
  <si>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</si>
  <si>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</si>
  <si>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</si>
  <si>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</si>
  <si>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</si>
  <si>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</si>
  <si>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</si>
  <si>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</si>
  <si>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</si>
  <si>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</si>
  <si>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</si>
  <si>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</si>
  <si>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</si>
  <si>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</si>
  <si>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</si>
  <si>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</si>
  <si>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</si>
  <si>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</si>
  <si>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</si>
  <si>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</si>
  <si>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</si>
  <si>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</si>
  <si>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</si>
  <si>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</si>
  <si>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</si>
  <si>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</si>
  <si>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</si>
  <si>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</si>
  <si>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</si>
  <si>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</si>
  <si>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</si>
  <si>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</si>
  <si>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</si>
  <si>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</si>
  <si>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</si>
  <si>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</si>
  <si>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</si>
  <si>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</si>
  <si>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</si>
  <si>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</si>
  <si>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</si>
  <si>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</si>
  <si>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</si>
  <si>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</si>
  <si>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</si>
  <si>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</si>
  <si>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</si>
  <si>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</si>
  <si>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</si>
  <si>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Row Labels</t>
  </si>
  <si>
    <t>Count of Order ID</t>
  </si>
  <si>
    <t>Sum of Total Sales</t>
  </si>
  <si>
    <t>Count of Total Sales</t>
  </si>
  <si>
    <t>SALES DASHBOARD 2025</t>
  </si>
  <si>
    <t>Sum of Units Sold</t>
  </si>
  <si>
    <t>MONTH</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</si>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</sst>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8"/>
      <color theme="1"/>
      <name val="Aptos Narrow"/>
      <family val="2"/>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49"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2" borderId="0" xfId="0" applyFont="1" applyFill="1" applyAlignment="1">
      <alignment horizontal="center"/>
    </xf>
  </cellXfs>
  <cellStyles count="1">
    <cellStyle name="Normal" xfId="0" builtinId="0"/>
  </cellStyles>
  <dxfs count="9">
    <dxf>
      <numFmt numFmtId="2" formatCode="0.00"/>
    </dxf>
    <dxf>
      <numFmt numFmtId="2" formatCode="0.00"/>
    </dxf>
    <dxf>
      <numFmt numFmtId="1" formatCode="0"/>
    </dxf>
    <dxf>
      <numFmt numFmtId="30" formatCode="@"/>
    </dxf>
    <dxf>
      <numFmt numFmtId="30" formatCode="@"/>
    </dxf>
    <dxf>
      <numFmt numFmtId="30" formatCode="@"/>
    </dxf>
    <dxf>
      <numFmt numFmtId="19" formatCode="dd/mm/yyyy"/>
    </dxf>
    <dxf>
      <numFmt numFmtId="19" formatCode="dd/mm/yyyy"/>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[Sales_Dashboard_2025.xlsx]Sheet2!PivotTable1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REGION WISE TOTAL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Count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Sheet2!$A$4:$A$7</c:f>
              <c:strCache>
                <c:ptCount val="4"/>
                <c:pt idx="0">
                  <c:v>East</c:v>
                </c:pt>
                <c:pt idx="1">
                  <c:v>North</c:v>
                </c:pt>
                <c:pt idx="2">
                  <c:v>South</c:v>
                </c:pt>
                <c:pt idx="3">
                  <c:v>West</c:v>
                </c:pt>
              </c:strCache>
            </c:strRef>
          </c:cat>
          <c:val>
            <c:numRef>
              <c:f>Sheet2!$B$4:$B$7</c:f>
              <c:numCache>
                <c:formatCode>General</c:formatCode>
                <c:ptCount val="4"/>
                <c:pt idx="0">
                  <c:v>19</c:v>
                </c:pt>
                <c:pt idx="1">
                  <c:v>31</c:v>
                </c:pt>
                <c:pt idx="2">
                  <c:v>19</c:v>
                </c:pt>
                <c:pt idx="3">
                  <c:v>31</c:v>
                </c:pt>
              </c:numCache>
            </c:numRef>
          </c:val>
          <c:extLst>
            <c:ext xmlns:c16="http://schemas.microsoft.com/office/drawing/2014/chart" uri="{C3380CC4-5D6E-409C-BE32-E72D297353CC}">
              <c16:uniqueId val="{00000003-C40D-4DC9-B71D-E9356E1F0D89}"/>
            </c:ext>
          </c:extLst>
        </c:ser>
        <c:ser>
          <c:idx val="1"/>
          <c:order val="1"/>
          <c:tx>
            <c:strRef>
              <c:f>Sheet2!$C$3</c:f>
              <c:strCache>
                <c:ptCount val="1"/>
                <c:pt idx="0">
                  <c:v>Count of Order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Sheet2!$A$4:$A$7</c:f>
              <c:strCache>
                <c:ptCount val="4"/>
                <c:pt idx="0">
                  <c:v>East</c:v>
                </c:pt>
                <c:pt idx="1">
                  <c:v>North</c:v>
                </c:pt>
                <c:pt idx="2">
                  <c:v>South</c:v>
                </c:pt>
                <c:pt idx="3">
                  <c:v>West</c:v>
                </c:pt>
              </c:strCache>
            </c:strRef>
          </c:cat>
          <c:val>
            <c:numRef>
              <c:f>Sheet2!$C$4:$C$7</c:f>
              <c:numCache>
                <c:formatCode>General</c:formatCode>
                <c:ptCount val="4"/>
                <c:pt idx="0">
                  <c:v>19</c:v>
                </c:pt>
                <c:pt idx="1">
                  <c:v>31</c:v>
                </c:pt>
                <c:pt idx="2">
                  <c:v>19</c:v>
                </c:pt>
                <c:pt idx="3">
                  <c:v>31</c:v>
                </c:pt>
              </c:numCache>
            </c:numRef>
          </c:val>
          <c:extLst>
            <c:ext xmlns:c16="http://schemas.microsoft.com/office/drawing/2014/chart" uri="{C3380CC4-5D6E-409C-BE32-E72D297353CC}">
              <c16:uniqueId val="{00000004-C40D-4DC9-B71D-E9356E1F0D89}"/>
            </c:ext>
          </c:extLst>
        </c:ser>
        <c:dLbls>
          <c:showLegendKey val="0"/>
          <c:showVal val="0"/>
          <c:showCatName val="0"/>
          <c:showSerName val="0"/>
          <c:showPercent val="0"/>
          <c:showBubbleSize val="0"/>
        </c:dLbls>
        <c:gapWidth val="219"/>
        <c:overlap val="-27"/>
        <c:axId val="1534009520"/>
        <c:axId val="1534011440"/>
      </c:barChart>
      <c:catAx>
        <c:axId val="15340095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4011440"/>
        <c:crosses val="autoZero"/>
        <c:auto val="1"/>
        <c:lblAlgn val="ctr"/>
        <c:lblOffset val="100"/>
        <c:noMultiLvlLbl val="0"/>
      </c:catAx>
      <c:valAx>
        <c:axId val="15340114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400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Total</c:v>
                </c:pt>
              </c:strCache>
            </c:strRef>
          </c:tx>
          <c:spPr>
            <a:solidFill>
              <a:schemeClr val="accent1"/>
            </a:solidFill>
            <a:ln>
              <a:noFill/>
            </a:ln>
            <a:effectLst/>
            <a:sp3d/>
          </c:spPr>
          <c:invertIfNegative val="0"/>
          <c:cat>
            <c:strRef>
              <c:f>Sheet4!$A$4:$A$13</c:f>
              <c:strCache>
                <c:ptCount val="10"/>
                <c:pt idx="0">
                  <c:v>Camera</c:v>
                </c:pt>
                <c:pt idx="1">
                  <c:v>Headphones</c:v>
                </c:pt>
                <c:pt idx="2">
                  <c:v>Keyboard</c:v>
                </c:pt>
                <c:pt idx="3">
                  <c:v>Laptop</c:v>
                </c:pt>
                <c:pt idx="4">
                  <c:v>Monitor</c:v>
                </c:pt>
                <c:pt idx="5">
                  <c:v>Mouse</c:v>
                </c:pt>
                <c:pt idx="6">
                  <c:v>Printer</c:v>
                </c:pt>
                <c:pt idx="7">
                  <c:v>Smartphone</c:v>
                </c:pt>
                <c:pt idx="8">
                  <c:v>Speaker</c:v>
                </c:pt>
                <c:pt idx="9">
                  <c:v>Tablet</c:v>
                </c:pt>
              </c:strCache>
            </c:strRef>
          </c:cat>
          <c:val>
            <c:numRef>
              <c:f>Sheet4!$B$4:$B$13</c:f>
              <c:numCache>
                <c:formatCode>0.00</c:formatCode>
                <c:ptCount val="10"/>
                <c:pt idx="0">
                  <c:v>9107124</c:v>
                </c:pt>
                <c:pt idx="1">
                  <c:v>7075259</c:v>
                </c:pt>
                <c:pt idx="2">
                  <c:v>6511469</c:v>
                </c:pt>
                <c:pt idx="3">
                  <c:v>5675400</c:v>
                </c:pt>
                <c:pt idx="4">
                  <c:v>6857683</c:v>
                </c:pt>
                <c:pt idx="5">
                  <c:v>5971248</c:v>
                </c:pt>
                <c:pt idx="6">
                  <c:v>6257532</c:v>
                </c:pt>
                <c:pt idx="7">
                  <c:v>4993065</c:v>
                </c:pt>
                <c:pt idx="8">
                  <c:v>4585450</c:v>
                </c:pt>
                <c:pt idx="9">
                  <c:v>7568839</c:v>
                </c:pt>
              </c:numCache>
            </c:numRef>
          </c:val>
          <c:extLst>
            <c:ext xmlns:c16="http://schemas.microsoft.com/office/drawing/2014/chart" uri="{C3380CC4-5D6E-409C-BE32-E72D297353CC}">
              <c16:uniqueId val="{00000002-94F1-4577-9BAB-27581E82D9C8}"/>
            </c:ext>
          </c:extLst>
        </c:ser>
        <c:dLbls>
          <c:showLegendKey val="0"/>
          <c:showVal val="0"/>
          <c:showCatName val="0"/>
          <c:showSerName val="0"/>
          <c:showPercent val="0"/>
          <c:showBubbleSize val="0"/>
        </c:dLbls>
        <c:gapWidth val="150"/>
        <c:shape val="box"/>
        <c:axId val="1531693760"/>
        <c:axId val="1531685600"/>
        <c:axId val="0"/>
      </c:bar3DChart>
      <c:catAx>
        <c:axId val="153169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685600"/>
        <c:crosses val="autoZero"/>
        <c:auto val="1"/>
        <c:lblAlgn val="ctr"/>
        <c:lblOffset val="100"/>
        <c:noMultiLvlLbl val="0"/>
      </c:catAx>
      <c:valAx>
        <c:axId val="153168560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69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[Sales_Dashboard_2025.xlsx]Sheet5!PivotTable3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PERSON CONTRIBUTION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Sheet5!$A$4:$A$13</c:f>
              <c:strCache>
                <c:ptCount val="10"/>
                <c:pt idx="0">
                  <c:v>Amit</c:v>
                </c:pt>
                <c:pt idx="1">
                  <c:v>Dev</c:v>
                </c:pt>
                <c:pt idx="2">
                  <c:v>Karan</c:v>
                </c:pt>
                <c:pt idx="3">
                  <c:v>Neha</c:v>
                </c:pt>
                <c:pt idx="4">
                  <c:v>Priya</c:v>
                </c:pt>
                <c:pt idx="5">
                  <c:v>Raj</c:v>
                </c:pt>
                <c:pt idx="6">
                  <c:v>Riya</c:v>
                </c:pt>
                <c:pt idx="7">
                  <c:v>Sonia</c:v>
                </c:pt>
                <c:pt idx="8">
                  <c:v>Tina</c:v>
                </c:pt>
                <c:pt idx="9">
                  <c:v>Vikram</c:v>
                </c:pt>
              </c:strCache>
            </c:strRef>
          </c:cat>
          <c:val>
            <c:numRef>
              <c:f>Sheet5!$B$4:$B$13</c:f>
              <c:numCache>
                <c:formatCode>0.00</c:formatCode>
                <c:ptCount val="10"/>
                <c:pt idx="0">
                  <c:v>3680480</c:v>
                </c:pt>
                <c:pt idx="1">
                  <c:v>12305798</c:v>
                </c:pt>
                <c:pt idx="2">
                  <c:v>6368338</c:v>
                </c:pt>
                <c:pt idx="3">
                  <c:v>10464998</c:v>
                </c:pt>
                <c:pt idx="4">
                  <c:v>10424964</c:v>
                </c:pt>
                <c:pt idx="5">
                  <c:v>5364244</c:v>
                </c:pt>
                <c:pt idx="6">
                  <c:v>4871544</c:v>
                </c:pt>
                <c:pt idx="7">
                  <c:v>1369452</c:v>
                </c:pt>
                <c:pt idx="8">
                  <c:v>3429771</c:v>
                </c:pt>
                <c:pt idx="9">
                  <c:v>6323480</c:v>
                </c:pt>
              </c:numCache>
            </c:numRef>
          </c:val>
          <c:extLst>
            <c:ext xmlns:c16="http://schemas.microsoft.com/office/drawing/2014/chart" uri="{C3380CC4-5D6E-409C-BE32-E72D297353CC}">
              <c16:uniqueId val="{00000002-B5E5-437D-9B36-D36714928F2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[Sales_Dashboard_2025.xlsx]Sheet6!PivotTable4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 UNITS SOLD OF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Sheet6!$B$3</c:f>
              <c:strCache>
                <c:ptCount val="1"/>
                <c:pt idx="0">
                  <c:v>Total</c:v>
                </c:pt>
              </c:strCache>
            </c:strRef>
          </c:tx>
          <c:spPr>
            <a:solidFill>
              <a:schemeClr val="accent1"/>
            </a:solidFill>
            <a:ln>
              <a:noFill/>
            </a:ln>
            <a:effectLst/>
            <a:sp3d/>
          </c:spPr>
          <c:invertIfNegative val="0"/>
          <c:cat>
            <c:strRef>
              <c:f>Sheet6!$A$4:$A$13</c:f>
              <c:strCache>
                <c:ptCount val="10"/>
                <c:pt idx="0">
                  <c:v>Camera</c:v>
                </c:pt>
                <c:pt idx="1">
                  <c:v>Headphones</c:v>
                </c:pt>
                <c:pt idx="2">
                  <c:v>Keyboard</c:v>
                </c:pt>
                <c:pt idx="3">
                  <c:v>Laptop</c:v>
                </c:pt>
                <c:pt idx="4">
                  <c:v>Monitor</c:v>
                </c:pt>
                <c:pt idx="5">
                  <c:v>Mouse</c:v>
                </c:pt>
                <c:pt idx="6">
                  <c:v>Printer</c:v>
                </c:pt>
                <c:pt idx="7">
                  <c:v>Smartphone</c:v>
                </c:pt>
                <c:pt idx="8">
                  <c:v>Speaker</c:v>
                </c:pt>
                <c:pt idx="9">
                  <c:v>Tablet</c:v>
                </c:pt>
              </c:strCache>
            </c:strRef>
          </c:cat>
          <c:val>
            <c:numRef>
              <c:f>Sheet6!$B$4:$B$13</c:f>
              <c:numCache>
                <c:formatCode>0</c:formatCode>
                <c:ptCount val="10"/>
                <c:pt idx="0">
                  <c:v>279</c:v>
                </c:pt>
                <c:pt idx="1">
                  <c:v>282</c:v>
                </c:pt>
                <c:pt idx="2">
                  <c:v>235</c:v>
                </c:pt>
                <c:pt idx="3">
                  <c:v>186</c:v>
                </c:pt>
                <c:pt idx="4">
                  <c:v>284</c:v>
                </c:pt>
                <c:pt idx="5">
                  <c:v>248</c:v>
                </c:pt>
                <c:pt idx="6">
                  <c:v>301</c:v>
                </c:pt>
                <c:pt idx="7">
                  <c:v>228</c:v>
                </c:pt>
                <c:pt idx="8">
                  <c:v>220</c:v>
                </c:pt>
                <c:pt idx="9">
                  <c:v>253</c:v>
                </c:pt>
              </c:numCache>
            </c:numRef>
          </c:val>
          <c:extLst>
            <c:ext xmlns:c16="http://schemas.microsoft.com/office/drawing/2014/chart" uri="{C3380CC4-5D6E-409C-BE32-E72D297353CC}">
              <c16:uniqueId val="{00000002-743F-4FE3-B8E7-2F188D460B3A}"/>
            </c:ext>
          </c:extLst>
        </c:ser>
        <c:dLbls>
          <c:showLegendKey val="0"/>
          <c:showVal val="0"/>
          <c:showCatName val="0"/>
          <c:showSerName val="0"/>
          <c:showPercent val="0"/>
          <c:showBubbleSize val="0"/>
        </c:dLbls>
        <c:gapWidth val="150"/>
        <c:shape val="box"/>
        <c:axId val="641105855"/>
        <c:axId val="641094815"/>
        <c:axId val="0"/>
      </c:bar3DChart>
      <c:catAx>
        <c:axId val="641105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094815"/>
        <c:crosses val="autoZero"/>
        <c:auto val="1"/>
        <c:lblAlgn val="ctr"/>
        <c:lblOffset val="100"/>
        <c:noMultiLvlLbl val="0"/>
      </c:catAx>
      <c:valAx>
        <c:axId val="64109481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0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[Sales_Dashboard_2025.xlsx]Sheet8!PivotTable6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YOTAL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Sheet8!$B$3</c:f>
              <c:strCache>
                <c:ptCount val="1"/>
                <c:pt idx="0">
                  <c:v>Total</c:v>
                </c:pt>
              </c:strCache>
            </c:strRef>
          </c:tx>
          <c:spPr>
            <a:solidFill>
              <a:schemeClr val="accent1"/>
            </a:solidFill>
            <a:ln>
              <a:noFill/>
            </a:ln>
            <a:effectLst/>
            <a:sp3d/>
          </c:spPr>
          <c:invertIfNegative val="0"/>
          <c:cat>
            <c:strRef>
              <c:f>Sheet8!$A$4:$A$7</c:f>
              <c:strCache>
                <c:ptCount val="4"/>
                <c:pt idx="0">
                  <c:v>Sep</c:v>
                </c:pt>
                <c:pt idx="1">
                  <c:v>Oct</c:v>
                </c:pt>
                <c:pt idx="2">
                  <c:v>Nov</c:v>
                </c:pt>
                <c:pt idx="3">
                  <c:v>Dec</c:v>
                </c:pt>
              </c:strCache>
            </c:strRef>
          </c:cat>
          <c:val>
            <c:numRef>
              <c:f>Sheet8!$B$4:$B$7</c:f>
              <c:numCache>
                <c:formatCode>0.00</c:formatCode>
                <c:ptCount val="4"/>
                <c:pt idx="0">
                  <c:v>15085836</c:v>
                </c:pt>
                <c:pt idx="1">
                  <c:v>22531931</c:v>
                </c:pt>
                <c:pt idx="2">
                  <c:v>18947585</c:v>
                </c:pt>
                <c:pt idx="3">
                  <c:v>8037717</c:v>
                </c:pt>
              </c:numCache>
            </c:numRef>
          </c:val>
          <c:extLst>
            <c:ext xmlns:c16="http://schemas.microsoft.com/office/drawing/2014/chart" uri="{C3380CC4-5D6E-409C-BE32-E72D297353CC}">
              <c16:uniqueId val="{00000002-5266-47E2-AB4F-9661558DED73}"/>
            </c:ext>
          </c:extLst>
        </c:ser>
        <c:dLbls>
          <c:showLegendKey val="0"/>
          <c:showVal val="0"/>
          <c:showCatName val="0"/>
          <c:showSerName val="0"/>
          <c:showPercent val="0"/>
          <c:showBubbleSize val="0"/>
        </c:dLbls>
        <c:gapWidth val="150"/>
        <c:shape val="box"/>
        <c:axId val="641102495"/>
        <c:axId val="641095295"/>
        <c:axId val="0"/>
      </c:bar3DChart>
      <c:catAx>
        <c:axId val="641102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095295"/>
        <c:crosses val="autoZero"/>
        <c:auto val="1"/>
        <c:lblAlgn val="ctr"/>
        <c:lblOffset val="100"/>
        <c:noMultiLvlLbl val="0"/>
      </c:catAx>
      <c:valAx>
        <c:axId val="64109529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0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[Sales_Dashboard_2025.xlsx]Sheet2!PivotTable1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REGION WISE TOTAL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Count of 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Sheet2!$A$4:$A$7</c:f>
              <c:strCache>
                <c:ptCount val="4"/>
                <c:pt idx="0">
                  <c:v>East</c:v>
                </c:pt>
                <c:pt idx="1">
                  <c:v>North</c:v>
                </c:pt>
                <c:pt idx="2">
                  <c:v>South</c:v>
                </c:pt>
                <c:pt idx="3">
                  <c:v>West</c:v>
                </c:pt>
              </c:strCache>
            </c:strRef>
          </c:cat>
          <c:val>
            <c:numRef>
              <c:f>Sheet2!$B$4:$B$7</c:f>
              <c:numCache>
                <c:formatCode>General</c:formatCode>
                <c:ptCount val="4"/>
                <c:pt idx="0">
                  <c:v>19</c:v>
                </c:pt>
                <c:pt idx="1">
                  <c:v>31</c:v>
                </c:pt>
                <c:pt idx="2">
                  <c:v>19</c:v>
                </c:pt>
                <c:pt idx="3">
                  <c:v>31</c:v>
                </c:pt>
              </c:numCache>
            </c:numRef>
          </c:val>
          <c:extLst>
            <c:ext xmlns:c16="http://schemas.microsoft.com/office/drawing/2014/chart" uri="{C3380CC4-5D6E-409C-BE32-E72D297353CC}">
              <c16:uniqueId val="{00000002-F293-43BA-8BDA-572390A539F7}"/>
            </c:ext>
          </c:extLst>
        </c:ser>
        <c:ser>
          <c:idx val="1"/>
          <c:order val="1"/>
          <c:tx>
            <c:strRef>
              <c:f>Sheet2!$C$3</c:f>
              <c:strCache>
                <c:ptCount val="1"/>
                <c:pt idx="0">
                  <c:v>Count of Order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c:spPr>
          <c:invertIfNegative val="0"/>
          <c:cat>
            <c:strRef>
              <c:f>Sheet2!$A$4:$A$7</c:f>
              <c:strCache>
                <c:ptCount val="4"/>
                <c:pt idx="0">
                  <c:v>East</c:v>
                </c:pt>
                <c:pt idx="1">
                  <c:v>North</c:v>
                </c:pt>
                <c:pt idx="2">
                  <c:v>South</c:v>
                </c:pt>
                <c:pt idx="3">
                  <c:v>West</c:v>
                </c:pt>
              </c:strCache>
            </c:strRef>
          </c:cat>
          <c:val>
            <c:numRef>
              <c:f>Sheet2!$C$4:$C$7</c:f>
              <c:numCache>
                <c:formatCode>General</c:formatCode>
                <c:ptCount val="4"/>
                <c:pt idx="0">
                  <c:v>19</c:v>
                </c:pt>
                <c:pt idx="1">
                  <c:v>31</c:v>
                </c:pt>
                <c:pt idx="2">
                  <c:v>19</c:v>
                </c:pt>
                <c:pt idx="3">
                  <c:v>31</c:v>
                </c:pt>
              </c:numCache>
            </c:numRef>
          </c:val>
          <c:extLst>
            <c:ext xmlns:c16="http://schemas.microsoft.com/office/drawing/2014/chart" uri="{C3380CC4-5D6E-409C-BE32-E72D297353CC}">
              <c16:uniqueId val="{00000003-F293-43BA-8BDA-572390A539F7}"/>
            </c:ext>
          </c:extLst>
        </c:ser>
        <c:dLbls>
          <c:showLegendKey val="0"/>
          <c:showVal val="0"/>
          <c:showCatName val="0"/>
          <c:showSerName val="0"/>
          <c:showPercent val="0"/>
          <c:showBubbleSize val="0"/>
        </c:dLbls>
        <c:gapWidth val="219"/>
        <c:overlap val="-27"/>
        <c:axId val="1534009520"/>
        <c:axId val="1534011440"/>
      </c:barChart>
      <c:catAx>
        <c:axId val="15340095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4011440"/>
        <c:crosses val="autoZero"/>
        <c:auto val="1"/>
        <c:lblAlgn val="ctr"/>
        <c:lblOffset val="100"/>
        <c:noMultiLvlLbl val="0"/>
      </c:catAx>
      <c:valAx>
        <c:axId val="1534011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400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[Sales_Dashboard_2025.xlsx]Sheet4!PivotTable2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a:t>
            </a:r>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699082717753065"/>
          <c:y val="0.20741379310344829"/>
          <c:w val="0.40162864951159455"/>
          <c:h val="0.65397547289347457"/>
        </c:manualLayout>
      </c:layout>
      <c:bar3DChart>
        <c:barDir val="bar"/>
        <c:grouping val="clustered"/>
        <c:varyColors val="0"/>
        <c:ser>
          <c:idx val="0"/>
          <c:order val="0"/>
          <c:tx>
            <c:strRef>
              <c:f>Sheet4!$B$3</c:f>
              <c:strCache>
                <c:ptCount val="1"/>
                <c:pt idx="0">
                  <c:v>Total</c:v>
                </c:pt>
              </c:strCache>
            </c:strRef>
          </c:tx>
          <c:spPr>
            <a:solidFill>
              <a:schemeClr val="accent1"/>
            </a:solidFill>
            <a:ln>
              <a:noFill/>
            </a:ln>
            <a:effectLst/>
            <a:sp3d/>
          </c:spPr>
          <c:invertIfNegative val="0"/>
          <c:cat>
            <c:strRef>
              <c:f>Sheet4!$A$4:$A$13</c:f>
              <c:strCache>
                <c:ptCount val="10"/>
                <c:pt idx="0">
                  <c:v>Camera</c:v>
                </c:pt>
                <c:pt idx="1">
                  <c:v>Headphones</c:v>
                </c:pt>
                <c:pt idx="2">
                  <c:v>Keyboard</c:v>
                </c:pt>
                <c:pt idx="3">
                  <c:v>Laptop</c:v>
                </c:pt>
                <c:pt idx="4">
                  <c:v>Monitor</c:v>
                </c:pt>
                <c:pt idx="5">
                  <c:v>Mouse</c:v>
                </c:pt>
                <c:pt idx="6">
                  <c:v>Printer</c:v>
                </c:pt>
                <c:pt idx="7">
                  <c:v>Smartphone</c:v>
                </c:pt>
                <c:pt idx="8">
                  <c:v>Speaker</c:v>
                </c:pt>
                <c:pt idx="9">
                  <c:v>Tablet</c:v>
                </c:pt>
              </c:strCache>
            </c:strRef>
          </c:cat>
          <c:val>
            <c:numRef>
              <c:f>Sheet4!$B$4:$B$13</c:f>
              <c:numCache>
                <c:formatCode>0.00</c:formatCode>
                <c:ptCount val="10"/>
                <c:pt idx="0">
                  <c:v>9107124</c:v>
                </c:pt>
                <c:pt idx="1">
                  <c:v>7075259</c:v>
                </c:pt>
                <c:pt idx="2">
                  <c:v>6511469</c:v>
                </c:pt>
                <c:pt idx="3">
                  <c:v>5675400</c:v>
                </c:pt>
                <c:pt idx="4">
                  <c:v>6857683</c:v>
                </c:pt>
                <c:pt idx="5">
                  <c:v>5971248</c:v>
                </c:pt>
                <c:pt idx="6">
                  <c:v>6257532</c:v>
                </c:pt>
                <c:pt idx="7">
                  <c:v>4993065</c:v>
                </c:pt>
                <c:pt idx="8">
                  <c:v>4585450</c:v>
                </c:pt>
                <c:pt idx="9">
                  <c:v>7568839</c:v>
                </c:pt>
              </c:numCache>
            </c:numRef>
          </c:val>
          <c:extLst>
            <c:ext xmlns:c16="http://schemas.microsoft.com/office/drawing/2014/chart" uri="{C3380CC4-5D6E-409C-BE32-E72D297353CC}">
              <c16:uniqueId val="{00000003-B6E3-441B-8CBB-DA1BB39B4908}"/>
            </c:ext>
          </c:extLst>
        </c:ser>
        <c:dLbls>
          <c:showLegendKey val="0"/>
          <c:showVal val="0"/>
          <c:showCatName val="0"/>
          <c:showSerName val="0"/>
          <c:showPercent val="0"/>
          <c:showBubbleSize val="0"/>
        </c:dLbls>
        <c:gapWidth val="150"/>
        <c:shape val="box"/>
        <c:axId val="1531693760"/>
        <c:axId val="1531685600"/>
        <c:axId val="0"/>
      </c:bar3DChart>
      <c:catAx>
        <c:axId val="153169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685600"/>
        <c:crosses val="autoZero"/>
        <c:auto val="1"/>
        <c:lblAlgn val="ctr"/>
        <c:lblOffset val="100"/>
        <c:noMultiLvlLbl val="0"/>
      </c:catAx>
      <c:valAx>
        <c:axId val="153168560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69376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[Sales_Dashboard_2025.xlsx]Sheet5!PivotTable3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PERSON CONTRIBUTION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Sheet5!$A$4:$A$13</c:f>
              <c:strCache>
                <c:ptCount val="10"/>
                <c:pt idx="0">
                  <c:v>Amit</c:v>
                </c:pt>
                <c:pt idx="1">
                  <c:v>Dev</c:v>
                </c:pt>
                <c:pt idx="2">
                  <c:v>Karan</c:v>
                </c:pt>
                <c:pt idx="3">
                  <c:v>Neha</c:v>
                </c:pt>
                <c:pt idx="4">
                  <c:v>Priya</c:v>
                </c:pt>
                <c:pt idx="5">
                  <c:v>Raj</c:v>
                </c:pt>
                <c:pt idx="6">
                  <c:v>Riya</c:v>
                </c:pt>
                <c:pt idx="7">
                  <c:v>Sonia</c:v>
                </c:pt>
                <c:pt idx="8">
                  <c:v>Tina</c:v>
                </c:pt>
                <c:pt idx="9">
                  <c:v>Vikram</c:v>
                </c:pt>
              </c:strCache>
            </c:strRef>
          </c:cat>
          <c:val>
            <c:numRef>
              <c:f>Sheet5!$B$4:$B$13</c:f>
              <c:numCache>
                <c:formatCode>0.00</c:formatCode>
                <c:ptCount val="10"/>
                <c:pt idx="0">
                  <c:v>3680480</c:v>
                </c:pt>
                <c:pt idx="1">
                  <c:v>12305798</c:v>
                </c:pt>
                <c:pt idx="2">
                  <c:v>6368338</c:v>
                </c:pt>
                <c:pt idx="3">
                  <c:v>10464998</c:v>
                </c:pt>
                <c:pt idx="4">
                  <c:v>10424964</c:v>
                </c:pt>
                <c:pt idx="5">
                  <c:v>5364244</c:v>
                </c:pt>
                <c:pt idx="6">
                  <c:v>4871544</c:v>
                </c:pt>
                <c:pt idx="7">
                  <c:v>1369452</c:v>
                </c:pt>
                <c:pt idx="8">
                  <c:v>3429771</c:v>
                </c:pt>
                <c:pt idx="9">
                  <c:v>6323480</c:v>
                </c:pt>
              </c:numCache>
            </c:numRef>
          </c:val>
          <c:extLst>
            <c:ext xmlns:c16="http://schemas.microsoft.com/office/drawing/2014/chart" uri="{C3380CC4-5D6E-409C-BE32-E72D297353CC}">
              <c16:uniqueId val="{00000015-1394-4550-AED7-F6C454B7BFC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[Sales_Dashboard_2025.xlsx]Sheet6!PivotTable4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 UNITS SOLD OF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Sheet6!$B$3</c:f>
              <c:strCache>
                <c:ptCount val="1"/>
                <c:pt idx="0">
                  <c:v>Total</c:v>
                </c:pt>
              </c:strCache>
            </c:strRef>
          </c:tx>
          <c:spPr>
            <a:solidFill>
              <a:schemeClr val="accent1"/>
            </a:solidFill>
            <a:ln>
              <a:noFill/>
            </a:ln>
            <a:effectLst/>
            <a:sp3d/>
          </c:spPr>
          <c:invertIfNegative val="0"/>
          <c:cat>
            <c:strRef>
              <c:f>Sheet6!$A$4:$A$13</c:f>
              <c:strCache>
                <c:ptCount val="10"/>
                <c:pt idx="0">
                  <c:v>Camera</c:v>
                </c:pt>
                <c:pt idx="1">
                  <c:v>Headphones</c:v>
                </c:pt>
                <c:pt idx="2">
                  <c:v>Keyboard</c:v>
                </c:pt>
                <c:pt idx="3">
                  <c:v>Laptop</c:v>
                </c:pt>
                <c:pt idx="4">
                  <c:v>Monitor</c:v>
                </c:pt>
                <c:pt idx="5">
                  <c:v>Mouse</c:v>
                </c:pt>
                <c:pt idx="6">
                  <c:v>Printer</c:v>
                </c:pt>
                <c:pt idx="7">
                  <c:v>Smartphone</c:v>
                </c:pt>
                <c:pt idx="8">
                  <c:v>Speaker</c:v>
                </c:pt>
                <c:pt idx="9">
                  <c:v>Tablet</c:v>
                </c:pt>
              </c:strCache>
            </c:strRef>
          </c:cat>
          <c:val>
            <c:numRef>
              <c:f>Sheet6!$B$4:$B$13</c:f>
              <c:numCache>
                <c:formatCode>0</c:formatCode>
                <c:ptCount val="10"/>
                <c:pt idx="0">
                  <c:v>279</c:v>
                </c:pt>
                <c:pt idx="1">
                  <c:v>282</c:v>
                </c:pt>
                <c:pt idx="2">
                  <c:v>235</c:v>
                </c:pt>
                <c:pt idx="3">
                  <c:v>186</c:v>
                </c:pt>
                <c:pt idx="4">
                  <c:v>284</c:v>
                </c:pt>
                <c:pt idx="5">
                  <c:v>248</c:v>
                </c:pt>
                <c:pt idx="6">
                  <c:v>301</c:v>
                </c:pt>
                <c:pt idx="7">
                  <c:v>228</c:v>
                </c:pt>
                <c:pt idx="8">
                  <c:v>220</c:v>
                </c:pt>
                <c:pt idx="9">
                  <c:v>253</c:v>
                </c:pt>
              </c:numCache>
            </c:numRef>
          </c:val>
          <c:extLst>
            <c:ext xmlns:c16="http://schemas.microsoft.com/office/drawing/2014/chart" uri="{C3380CC4-5D6E-409C-BE32-E72D297353CC}">
              <c16:uniqueId val="{00000001-BD7D-4CE5-9C48-15785526C2BF}"/>
            </c:ext>
          </c:extLst>
        </c:ser>
        <c:dLbls>
          <c:showLegendKey val="0"/>
          <c:showVal val="0"/>
          <c:showCatName val="0"/>
          <c:showSerName val="0"/>
          <c:showPercent val="0"/>
          <c:showBubbleSize val="0"/>
        </c:dLbls>
        <c:gapWidth val="150"/>
        <c:shape val="box"/>
        <c:axId val="641105855"/>
        <c:axId val="641094815"/>
        <c:axId val="0"/>
      </c:bar3DChart>
      <c:catAx>
        <c:axId val="641105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094815"/>
        <c:crosses val="autoZero"/>
        <c:auto val="1"/>
        <c:lblAlgn val="ctr"/>
        <c:lblOffset val="100"/>
        <c:noMultiLvlLbl val="0"/>
      </c:catAx>
      <c:valAx>
        <c:axId val="64109481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0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[Sales_Dashboard_2025.xlsx]Sheet8!PivotTable6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YOTAL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Sheet8!$B$3</c:f>
              <c:strCache>
                <c:ptCount val="1"/>
                <c:pt idx="0">
                  <c:v>Total</c:v>
                </c:pt>
              </c:strCache>
            </c:strRef>
          </c:tx>
          <c:spPr>
            <a:solidFill>
              <a:schemeClr val="accent1"/>
            </a:solidFill>
            <a:ln>
              <a:noFill/>
            </a:ln>
            <a:effectLst/>
            <a:sp3d/>
          </c:spPr>
          <c:invertIfNegative val="0"/>
          <c:cat>
            <c:strRef>
              <c:f>Sheet8!$A$4:$A$7</c:f>
              <c:strCache>
                <c:ptCount val="4"/>
                <c:pt idx="0">
                  <c:v>Sep</c:v>
                </c:pt>
                <c:pt idx="1">
                  <c:v>Oct</c:v>
                </c:pt>
                <c:pt idx="2">
                  <c:v>Nov</c:v>
                </c:pt>
                <c:pt idx="3">
                  <c:v>Dec</c:v>
                </c:pt>
              </c:strCache>
            </c:strRef>
          </c:cat>
          <c:val>
            <c:numRef>
              <c:f>Sheet8!$B$4:$B$7</c:f>
              <c:numCache>
                <c:formatCode>0.00</c:formatCode>
                <c:ptCount val="4"/>
                <c:pt idx="0">
                  <c:v>15085836</c:v>
                </c:pt>
                <c:pt idx="1">
                  <c:v>22531931</c:v>
                </c:pt>
                <c:pt idx="2">
                  <c:v>18947585</c:v>
                </c:pt>
                <c:pt idx="3">
                  <c:v>8037717</c:v>
                </c:pt>
              </c:numCache>
            </c:numRef>
          </c:val>
          <c:extLst>
            <c:ext xmlns:c16="http://schemas.microsoft.com/office/drawing/2014/chart" uri="{C3380CC4-5D6E-409C-BE32-E72D297353CC}">
              <c16:uniqueId val="{00000001-79F0-4E14-BC0E-D0EC8439A39C}"/>
            </c:ext>
          </c:extLst>
        </c:ser>
        <c:dLbls>
          <c:showLegendKey val="0"/>
          <c:showVal val="0"/>
          <c:showCatName val="0"/>
          <c:showSerName val="0"/>
          <c:showPercent val="0"/>
          <c:showBubbleSize val="0"/>
        </c:dLbls>
        <c:gapWidth val="150"/>
        <c:shape val="box"/>
        <c:axId val="641102495"/>
        <c:axId val="641095295"/>
        <c:axId val="0"/>
      </c:bar3DChart>
      <c:catAx>
        <c:axId val="641102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095295"/>
        <c:crosses val="autoZero"/>
        <c:auto val="1"/>
        <c:lblAlgn val="ctr"/>
        <c:lblOffset val="100"/>
        <c:noMultiLvlLbl val="0"/>
      </c:catAx>
      <c:valAx>
        <c:axId val="64109529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0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1047750</xdr:colOff>
      <xdr:row>2</xdr:row>
      <xdr:rowOff>165100</xdr:rowOff>
    </xdr:from>
    <xdr:to>
      <xdr:col>8</xdr:col>
      <xdr:colOff>292100</xdr:colOff>
      <xdr:row>17</xdr:row>
      <xdr:rowOff>66675</xdr:rowOff>
    </xdr:to>
    <xdr:graphicFrame macro="">
      <xdr:nvGraphicFramePr>
        <xdr:cNvPr id="2" name="Chart 1">
          <a:extLst>
            <a:ext uri="{FF2B5EF4-FFF2-40B4-BE49-F238E27FC236}">
              <a16:creationId xmlns:a16="http://schemas.microsoft.com/office/drawing/2014/main" id="{769F23C0-0315-75CE-E3B4-E534CADE38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1047750</xdr:colOff>
      <xdr:row>2</xdr:row>
      <xdr:rowOff>85725</xdr:rowOff>
    </xdr:from>
    <xdr:to>
      <xdr:col>9</xdr:col>
      <xdr:colOff>228600</xdr:colOff>
      <xdr:row>17</xdr:row>
      <xdr:rowOff>66675</xdr:rowOff>
    </xdr:to>
    <xdr:graphicFrame macro="">
      <xdr:nvGraphicFramePr>
        <xdr:cNvPr id="2" name="Chart 1">
          <a:extLst>
            <a:ext uri="{FF2B5EF4-FFF2-40B4-BE49-F238E27FC236}">
              <a16:creationId xmlns:a16="http://schemas.microsoft.com/office/drawing/2014/main" id="{0344E890-3F58-DEE7-F622-DF92DDFC33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1047750</xdr:colOff>
      <xdr:row>2</xdr:row>
      <xdr:rowOff>85725</xdr:rowOff>
    </xdr:from>
    <xdr:to>
      <xdr:col>9</xdr:col>
      <xdr:colOff>228600</xdr:colOff>
      <xdr:row>17</xdr:row>
      <xdr:rowOff>66675</xdr:rowOff>
    </xdr:to>
    <xdr:graphicFrame macro="">
      <xdr:nvGraphicFramePr>
        <xdr:cNvPr id="2" name="Chart 1">
          <a:extLst>
            <a:ext uri="{FF2B5EF4-FFF2-40B4-BE49-F238E27FC236}">
              <a16:creationId xmlns:a16="http://schemas.microsoft.com/office/drawing/2014/main" id="{EBC4211F-2766-D930-3AF6-A861C5841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1047750</xdr:colOff>
      <xdr:row>2</xdr:row>
      <xdr:rowOff>85725</xdr:rowOff>
    </xdr:from>
    <xdr:to>
      <xdr:col>9</xdr:col>
      <xdr:colOff>260350</xdr:colOff>
      <xdr:row>17</xdr:row>
      <xdr:rowOff>66675</xdr:rowOff>
    </xdr:to>
    <xdr:graphicFrame macro="">
      <xdr:nvGraphicFramePr>
        <xdr:cNvPr id="2" name="Chart 1">
          <a:extLst>
            <a:ext uri="{FF2B5EF4-FFF2-40B4-BE49-F238E27FC236}">
              <a16:creationId xmlns:a16="http://schemas.microsoft.com/office/drawing/2014/main" id="{F6BF37A0-0660-CB22-8266-21249E2F5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1047750</xdr:colOff>
      <xdr:row>2</xdr:row>
      <xdr:rowOff>85725</xdr:rowOff>
    </xdr:from>
    <xdr:to>
      <xdr:col>9</xdr:col>
      <xdr:colOff>228600</xdr:colOff>
      <xdr:row>17</xdr:row>
      <xdr:rowOff>66675</xdr:rowOff>
    </xdr:to>
    <xdr:graphicFrame macro="">
      <xdr:nvGraphicFramePr>
        <xdr:cNvPr id="2" name="Chart 1">
          <a:extLst>
            <a:ext uri="{FF2B5EF4-FFF2-40B4-BE49-F238E27FC236}">
              <a16:creationId xmlns:a16="http://schemas.microsoft.com/office/drawing/2014/main" id="{2B6900C2-5411-0ACC-F995-F29214DD5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50800</xdr:colOff>
      <xdr:row>1</xdr:row>
      <xdr:rowOff>50800</xdr:rowOff>
    </xdr:from>
    <xdr:to>
      <xdr:col>7</xdr:col>
      <xdr:colOff>533400</xdr:colOff>
      <xdr:row>16</xdr:row>
      <xdr:rowOff>32845</xdr:rowOff>
    </xdr:to>
    <xdr:graphicFrame macro="">
      <xdr:nvGraphicFramePr>
        <xdr:cNvPr id="2" name="Chart 1">
          <a:extLst>
            <a:ext uri="{FF2B5EF4-FFF2-40B4-BE49-F238E27FC236}">
              <a16:creationId xmlns:a16="http://schemas.microsoft.com/office/drawing/2014/main" id="{1E70C110-D761-4FDE-B7D0-B14ED10C8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25400</xdr:colOff>
      <xdr:row>1</xdr:row>
      <xdr:rowOff>12700</xdr:rowOff>
    </xdr:from>
    <xdr:to>
      <xdr:col>15</xdr:col>
      <xdr:colOff>95250</xdr:colOff>
      <xdr:row>17</xdr:row>
      <xdr:rowOff>32845</xdr:rowOff>
    </xdr:to>
    <xdr:graphicFrame macro="">
      <xdr:nvGraphicFramePr>
        <xdr:cNvPr id="3" name="Chart 2">
          <a:extLst>
            <a:ext uri="{FF2B5EF4-FFF2-40B4-BE49-F238E27FC236}">
              <a16:creationId xmlns:a16="http://schemas.microsoft.com/office/drawing/2014/main" id="{8F17B5F9-F758-4628-9363-1A6BF9710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109484</xdr:colOff>
      <xdr:row>17</xdr:row>
      <xdr:rowOff>175174</xdr:rowOff>
    </xdr:from>
    <xdr:to>
      <xdr:col>6</xdr:col>
      <xdr:colOff>187907</xdr:colOff>
      <xdr:row>30</xdr:row>
      <xdr:rowOff>130111</xdr:rowOff>
    </xdr:to>
    <xdr:graphicFrame macro="">
      <xdr:nvGraphicFramePr>
        <xdr:cNvPr id="4" name="Chart 3">
          <a:extLst>
            <a:ext uri="{FF2B5EF4-FFF2-40B4-BE49-F238E27FC236}">
              <a16:creationId xmlns:a16="http://schemas.microsoft.com/office/drawing/2014/main" id="{0F9380D8-6186-4AD5-922A-3098A9F23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340698</xdr:colOff>
      <xdr:row>18</xdr:row>
      <xdr:rowOff>70970</xdr:rowOff>
    </xdr:from>
    <xdr:to>
      <xdr:col>22</xdr:col>
      <xdr:colOff>548682</xdr:colOff>
      <xdr:row>31</xdr:row>
      <xdr:rowOff>109482</xdr:rowOff>
    </xdr:to>
    <xdr:graphicFrame macro="">
      <xdr:nvGraphicFramePr>
        <xdr:cNvPr id="5" name="Chart 4">
          <a:extLst>
            <a:ext uri="{FF2B5EF4-FFF2-40B4-BE49-F238E27FC236}">
              <a16:creationId xmlns:a16="http://schemas.microsoft.com/office/drawing/2014/main" id="{B90A9B90-DCFD-4C7A-A8B9-2B6100A29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171450</xdr:colOff>
      <xdr:row>0</xdr:row>
      <xdr:rowOff>295602</xdr:rowOff>
    </xdr:from>
    <xdr:to>
      <xdr:col>22</xdr:col>
      <xdr:colOff>476250</xdr:colOff>
      <xdr:row>16</xdr:row>
      <xdr:rowOff>175171</xdr:rowOff>
    </xdr:to>
    <xdr:graphicFrame macro="">
      <xdr:nvGraphicFramePr>
        <xdr:cNvPr id="6" name="Chart 5">
          <a:extLst>
            <a:ext uri="{FF2B5EF4-FFF2-40B4-BE49-F238E27FC236}">
              <a16:creationId xmlns:a16="http://schemas.microsoft.com/office/drawing/2014/main" id="{D70E831C-29FF-4BB3-B2EA-29D8FBFEB5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508460</xdr:colOff>
      <xdr:row>1</xdr:row>
      <xdr:rowOff>36903</xdr:rowOff>
    </xdr:from>
    <xdr:to>
      <xdr:col>25</xdr:col>
      <xdr:colOff>515086</xdr:colOff>
      <xdr:row>15</xdr:row>
      <xdr:rowOff>79464</xdr:rowOff>
    </xdr:to>
    <mc:AlternateContent xmlns:mc="http://schemas.openxmlformats.org/markup-compatibility/2006">
      <mc:Choice xmlns:a14="http://schemas.microsoft.com/office/drawing/2010/main" Requires="a14">
        <xdr:graphicFrame macro="">
          <xdr:nvGraphicFramePr>
            <xdr:cNvPr id="15" name="Salesperson">
              <a:extLst>
                <a:ext uri="{FF2B5EF4-FFF2-40B4-BE49-F238E27FC236}">
                  <a16:creationId xmlns:a16="http://schemas.microsoft.com/office/drawing/2014/main" id="{CDD0FB24-BDED-D1EE-5D6D-9317BB53479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3996736" y="332506"/>
              <a:ext cx="1845936" cy="2648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17585</xdr:colOff>
      <xdr:row>15</xdr:row>
      <xdr:rowOff>182685</xdr:rowOff>
    </xdr:from>
    <xdr:to>
      <xdr:col>26</xdr:col>
      <xdr:colOff>14654</xdr:colOff>
      <xdr:row>23</xdr:row>
      <xdr:rowOff>134327</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5CC969EF-5DA6-59D5-19C3-F0E2D6AB7A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118964" y="3083978"/>
              <a:ext cx="1836380" cy="1440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66432</xdr:colOff>
      <xdr:row>23</xdr:row>
      <xdr:rowOff>109415</xdr:rowOff>
    </xdr:from>
    <xdr:to>
      <xdr:col>26</xdr:col>
      <xdr:colOff>63501</xdr:colOff>
      <xdr:row>31</xdr:row>
      <xdr:rowOff>170962</xdr:rowOff>
    </xdr:to>
    <mc:AlternateContent xmlns:mc="http://schemas.openxmlformats.org/markup-compatibility/2006">
      <mc:Choice xmlns:a14="http://schemas.microsoft.com/office/drawing/2010/main" Requires="a14">
        <xdr:graphicFrame macro="">
          <xdr:nvGraphicFramePr>
            <xdr:cNvPr id="17" name="Months (Order Date)">
              <a:extLst>
                <a:ext uri="{FF2B5EF4-FFF2-40B4-BE49-F238E27FC236}">
                  <a16:creationId xmlns:a16="http://schemas.microsoft.com/office/drawing/2014/main" id="{D69D86D5-5457-78C5-C683-C195BED79AEB}"/>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14167811" y="4499674"/>
              <a:ext cx="1836380" cy="1550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kumar" refreshedDate="45970.617210532408" createdVersion="8" refreshedVersion="8" minRefreshableVersion="3" recordCount="100" xr:uid="{3C1F5E0F-EB52-457D-A8C9-F7A44BD8CB84}">
  <cacheSource type="worksheet">
    <worksheetSource ref="A1:I101" sheet="Sheet1"/>
  </cacheSource>
  <cacheFields count="10">
    <cacheField name="Order ID" numFmtId="49">
      <sharedItems/>
    </cacheField>
    <cacheField name="Order Date" numFmtId="14">
      <sharedItems containsSemiMixedTypes="0" containsNonDate="0" containsDate="1" containsString="0" minDate="2024-09-02T00:00:00" maxDate="2024-12-11T00:00:00" count="1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sharedItems>
      <fieldGroup par="9"/>
    </cacheField>
    <cacheField name="Product" numFmtId="49">
      <sharedItems count="10">
        <s v="Keyboard"/>
        <s v="Tablet"/>
        <s v="Laptop"/>
        <s v="Camera"/>
        <s v="Printer"/>
        <s v="Speaker"/>
        <s v="Monitor"/>
        <s v="Headphones"/>
        <s v="Mouse"/>
        <s v="Smartphone"/>
      </sharedItems>
    </cacheField>
    <cacheField name="Region" numFmtId="49">
      <sharedItems count="4">
        <s v="West"/>
        <s v="North"/>
        <s v="East"/>
        <s v="South"/>
      </sharedItems>
    </cacheField>
    <cacheField name="Salesperson" numFmtId="49">
      <sharedItems count="10">
        <s v="Amit"/>
        <s v="Karan"/>
        <s v="Raj"/>
        <s v="Riya"/>
        <s v="Dev"/>
        <s v="Neha"/>
        <s v="Priya"/>
        <s v="Sonia"/>
        <s v="Vikram"/>
        <s v="Tina"/>
      </sharedItems>
    </cacheField>
    <cacheField name="Units Sold" numFmtId="1">
      <sharedItems containsSemiMixedTypes="0" containsString="0" containsNumber="1" containsInteger="1" minValue="1" maxValue="49"/>
    </cacheField>
    <cacheField name="Unit Price" numFmtId="2">
      <sharedItems containsSemiMixedTypes="0" containsString="0" containsNumber="1" containsInteger="1" minValue="1203" maxValue="49390"/>
    </cacheField>
    <cacheField name="Total Sales" numFmtId="2">
      <sharedItems containsSemiMixedTypes="0" containsString="0" containsNumber="1" containsInteger="1" minValue="18045" maxValue="2080491"/>
    </cacheField>
    <cacheField name="Days (Order Date)" numFmtId="0" databaseField="0">
      <fieldGroup base="1">
        <rangePr groupBy="days" startDate="2024-09-02T00:00:00" endDate="2024-12-11T00:00:00"/>
        <groupItems count="368">
          <s v="&lt;02-09-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12-2024"/>
        </groupItems>
      </fieldGroup>
    </cacheField>
    <cacheField name="Months (Order Date)" numFmtId="0" databaseField="0">
      <fieldGroup base="1">
        <rangePr groupBy="months" startDate="2024-09-02T00:00:00" endDate="2024-12-11T00:00:00"/>
        <groupItems count="14">
          <s v="&lt;02-09-2024"/>
          <s v="Jan"/>
          <s v="Feb"/>
          <s v="Mar"/>
          <s v="Apr"/>
          <s v="May"/>
          <s v="Jun"/>
          <s v="Jul"/>
          <s v="Aug"/>
          <s v="Sep"/>
          <s v="Oct"/>
          <s v="Nov"/>
          <s v="Dec"/>
          <s v="&gt;11-12-2024"/>
        </groupItems>
      </fieldGroup>
    </cacheField>
  </cacheFields>
  <extLst>
    <ext xmlns:x14="http://schemas.microsoft.com/office/spreadsheetml/2009/9/main" uri="{725AE2AE-9491-48be-B2B4-4EB974FC3084}">
      <x14:pivotCacheDefinition pivotCacheId="19497996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x v="0"/>
    <x v="0"/>
    <x v="0"/>
    <n v="18"/>
    <n v="46748"/>
    <n v="841464"/>
  </r>
  <r>
    <s v="ORD0002"/>
    <x v="1"/>
    <x v="0"/>
    <x v="1"/>
    <x v="0"/>
    <n v="22"/>
    <n v="3257"/>
    <n v="71654"/>
  </r>
  <r>
    <s v="ORD0003"/>
    <x v="2"/>
    <x v="1"/>
    <x v="0"/>
    <x v="1"/>
    <n v="47"/>
    <n v="27416"/>
    <n v="1288552"/>
  </r>
  <r>
    <s v="ORD0004"/>
    <x v="3"/>
    <x v="2"/>
    <x v="2"/>
    <x v="2"/>
    <n v="42"/>
    <n v="10436"/>
    <n v="438312"/>
  </r>
  <r>
    <s v="ORD0005"/>
    <x v="4"/>
    <x v="0"/>
    <x v="1"/>
    <x v="3"/>
    <n v="13"/>
    <n v="23107"/>
    <n v="300391"/>
  </r>
  <r>
    <s v="ORD0006"/>
    <x v="5"/>
    <x v="3"/>
    <x v="3"/>
    <x v="4"/>
    <n v="30"/>
    <n v="34879"/>
    <n v="1046370"/>
  </r>
  <r>
    <s v="ORD0007"/>
    <x v="6"/>
    <x v="4"/>
    <x v="0"/>
    <x v="5"/>
    <n v="16"/>
    <n v="6170"/>
    <n v="98720"/>
  </r>
  <r>
    <s v="ORD0008"/>
    <x v="7"/>
    <x v="5"/>
    <x v="0"/>
    <x v="6"/>
    <n v="38"/>
    <n v="2373"/>
    <n v="90174"/>
  </r>
  <r>
    <s v="ORD0009"/>
    <x v="8"/>
    <x v="6"/>
    <x v="0"/>
    <x v="7"/>
    <n v="34"/>
    <n v="28401"/>
    <n v="965634"/>
  </r>
  <r>
    <s v="ORD0010"/>
    <x v="9"/>
    <x v="0"/>
    <x v="2"/>
    <x v="0"/>
    <n v="9"/>
    <n v="11888"/>
    <n v="106992"/>
  </r>
  <r>
    <s v="ORD0011"/>
    <x v="10"/>
    <x v="3"/>
    <x v="3"/>
    <x v="8"/>
    <n v="44"/>
    <n v="39242"/>
    <n v="1726648"/>
  </r>
  <r>
    <s v="ORD0012"/>
    <x v="11"/>
    <x v="4"/>
    <x v="1"/>
    <x v="2"/>
    <n v="9"/>
    <n v="25273"/>
    <n v="227457"/>
  </r>
  <r>
    <s v="ORD0013"/>
    <x v="12"/>
    <x v="5"/>
    <x v="2"/>
    <x v="6"/>
    <n v="7"/>
    <n v="18771"/>
    <n v="131397"/>
  </r>
  <r>
    <s v="ORD0014"/>
    <x v="13"/>
    <x v="5"/>
    <x v="0"/>
    <x v="2"/>
    <n v="10"/>
    <n v="12954"/>
    <n v="129540"/>
  </r>
  <r>
    <s v="ORD0015"/>
    <x v="14"/>
    <x v="0"/>
    <x v="1"/>
    <x v="4"/>
    <n v="38"/>
    <n v="42158"/>
    <n v="1602004"/>
  </r>
  <r>
    <s v="ORD0016"/>
    <x v="15"/>
    <x v="6"/>
    <x v="1"/>
    <x v="5"/>
    <n v="8"/>
    <n v="18155"/>
    <n v="145240"/>
  </r>
  <r>
    <s v="ORD0017"/>
    <x v="16"/>
    <x v="6"/>
    <x v="0"/>
    <x v="2"/>
    <n v="36"/>
    <n v="5030"/>
    <n v="181080"/>
  </r>
  <r>
    <s v="ORD0018"/>
    <x v="17"/>
    <x v="7"/>
    <x v="3"/>
    <x v="2"/>
    <n v="22"/>
    <n v="6283"/>
    <n v="138226"/>
  </r>
  <r>
    <s v="ORD0019"/>
    <x v="18"/>
    <x v="8"/>
    <x v="1"/>
    <x v="0"/>
    <n v="5"/>
    <n v="42079"/>
    <n v="210395"/>
  </r>
  <r>
    <s v="ORD0020"/>
    <x v="19"/>
    <x v="5"/>
    <x v="2"/>
    <x v="6"/>
    <n v="31"/>
    <n v="27251"/>
    <n v="844781"/>
  </r>
  <r>
    <s v="ORD0021"/>
    <x v="20"/>
    <x v="8"/>
    <x v="2"/>
    <x v="1"/>
    <n v="30"/>
    <n v="14618"/>
    <n v="438540"/>
  </r>
  <r>
    <s v="ORD0022"/>
    <x v="21"/>
    <x v="4"/>
    <x v="3"/>
    <x v="5"/>
    <n v="49"/>
    <n v="28560"/>
    <n v="1399440"/>
  </r>
  <r>
    <s v="ORD0023"/>
    <x v="22"/>
    <x v="4"/>
    <x v="1"/>
    <x v="7"/>
    <n v="12"/>
    <n v="14620"/>
    <n v="175440"/>
  </r>
  <r>
    <s v="ORD0024"/>
    <x v="23"/>
    <x v="8"/>
    <x v="3"/>
    <x v="0"/>
    <n v="45"/>
    <n v="2654"/>
    <n v="119430"/>
  </r>
  <r>
    <s v="ORD0025"/>
    <x v="24"/>
    <x v="9"/>
    <x v="0"/>
    <x v="9"/>
    <n v="32"/>
    <n v="9856"/>
    <n v="315392"/>
  </r>
  <r>
    <s v="ORD0026"/>
    <x v="25"/>
    <x v="9"/>
    <x v="2"/>
    <x v="6"/>
    <n v="47"/>
    <n v="24276"/>
    <n v="1140972"/>
  </r>
  <r>
    <s v="ORD0027"/>
    <x v="26"/>
    <x v="9"/>
    <x v="1"/>
    <x v="6"/>
    <n v="23"/>
    <n v="22099"/>
    <n v="508277"/>
  </r>
  <r>
    <s v="ORD0028"/>
    <x v="27"/>
    <x v="2"/>
    <x v="3"/>
    <x v="1"/>
    <n v="4"/>
    <n v="5631"/>
    <n v="22524"/>
  </r>
  <r>
    <s v="ORD0029"/>
    <x v="28"/>
    <x v="4"/>
    <x v="0"/>
    <x v="5"/>
    <n v="45"/>
    <n v="8462"/>
    <n v="380790"/>
  </r>
  <r>
    <s v="ORD0030"/>
    <x v="29"/>
    <x v="6"/>
    <x v="1"/>
    <x v="5"/>
    <n v="43"/>
    <n v="36394"/>
    <n v="1564942"/>
  </r>
  <r>
    <s v="ORD0031"/>
    <x v="30"/>
    <x v="4"/>
    <x v="3"/>
    <x v="8"/>
    <n v="44"/>
    <n v="21636"/>
    <n v="951984"/>
  </r>
  <r>
    <s v="ORD0032"/>
    <x v="31"/>
    <x v="5"/>
    <x v="0"/>
    <x v="4"/>
    <n v="31"/>
    <n v="41069"/>
    <n v="1273139"/>
  </r>
  <r>
    <s v="ORD0033"/>
    <x v="32"/>
    <x v="6"/>
    <x v="1"/>
    <x v="4"/>
    <n v="20"/>
    <n v="27511"/>
    <n v="550220"/>
  </r>
  <r>
    <s v="ORD0034"/>
    <x v="33"/>
    <x v="4"/>
    <x v="0"/>
    <x v="5"/>
    <n v="48"/>
    <n v="16870"/>
    <n v="809760"/>
  </r>
  <r>
    <s v="ORD0035"/>
    <x v="34"/>
    <x v="1"/>
    <x v="1"/>
    <x v="6"/>
    <n v="39"/>
    <n v="6519"/>
    <n v="254241"/>
  </r>
  <r>
    <s v="ORD0036"/>
    <x v="35"/>
    <x v="7"/>
    <x v="1"/>
    <x v="6"/>
    <n v="31"/>
    <n v="31327"/>
    <n v="971137"/>
  </r>
  <r>
    <s v="ORD0037"/>
    <x v="36"/>
    <x v="1"/>
    <x v="0"/>
    <x v="4"/>
    <n v="43"/>
    <n v="33171"/>
    <n v="1426353"/>
  </r>
  <r>
    <s v="ORD0038"/>
    <x v="37"/>
    <x v="9"/>
    <x v="0"/>
    <x v="4"/>
    <n v="6"/>
    <n v="3911"/>
    <n v="23466"/>
  </r>
  <r>
    <s v="ORD0039"/>
    <x v="38"/>
    <x v="9"/>
    <x v="0"/>
    <x v="2"/>
    <n v="3"/>
    <n v="42214"/>
    <n v="126642"/>
  </r>
  <r>
    <s v="ORD0040"/>
    <x v="39"/>
    <x v="6"/>
    <x v="2"/>
    <x v="4"/>
    <n v="25"/>
    <n v="38308"/>
    <n v="957700"/>
  </r>
  <r>
    <s v="ORD0041"/>
    <x v="40"/>
    <x v="3"/>
    <x v="2"/>
    <x v="6"/>
    <n v="26"/>
    <n v="41969"/>
    <n v="1091194"/>
  </r>
  <r>
    <s v="ORD0042"/>
    <x v="41"/>
    <x v="1"/>
    <x v="3"/>
    <x v="3"/>
    <n v="49"/>
    <n v="42459"/>
    <n v="2080491"/>
  </r>
  <r>
    <s v="ORD0043"/>
    <x v="42"/>
    <x v="9"/>
    <x v="2"/>
    <x v="0"/>
    <n v="23"/>
    <n v="3740"/>
    <n v="86020"/>
  </r>
  <r>
    <s v="ORD0044"/>
    <x v="43"/>
    <x v="1"/>
    <x v="0"/>
    <x v="3"/>
    <n v="8"/>
    <n v="3051"/>
    <n v="24408"/>
  </r>
  <r>
    <s v="ORD0045"/>
    <x v="44"/>
    <x v="6"/>
    <x v="0"/>
    <x v="5"/>
    <n v="14"/>
    <n v="23695"/>
    <n v="331730"/>
  </r>
  <r>
    <s v="ORD0046"/>
    <x v="45"/>
    <x v="6"/>
    <x v="0"/>
    <x v="1"/>
    <n v="11"/>
    <n v="40155"/>
    <n v="441705"/>
  </r>
  <r>
    <s v="ORD0047"/>
    <x v="46"/>
    <x v="2"/>
    <x v="1"/>
    <x v="5"/>
    <n v="37"/>
    <n v="42021"/>
    <n v="1554777"/>
  </r>
  <r>
    <s v="ORD0048"/>
    <x v="47"/>
    <x v="6"/>
    <x v="0"/>
    <x v="5"/>
    <n v="22"/>
    <n v="35143"/>
    <n v="773146"/>
  </r>
  <r>
    <s v="ORD0049"/>
    <x v="48"/>
    <x v="7"/>
    <x v="0"/>
    <x v="1"/>
    <n v="40"/>
    <n v="5836"/>
    <n v="233440"/>
  </r>
  <r>
    <s v="ORD0050"/>
    <x v="49"/>
    <x v="1"/>
    <x v="1"/>
    <x v="9"/>
    <n v="42"/>
    <n v="36897"/>
    <n v="1549674"/>
  </r>
  <r>
    <s v="ORD0051"/>
    <x v="50"/>
    <x v="4"/>
    <x v="0"/>
    <x v="3"/>
    <n v="16"/>
    <n v="23205"/>
    <n v="371280"/>
  </r>
  <r>
    <s v="ORD0052"/>
    <x v="51"/>
    <x v="2"/>
    <x v="3"/>
    <x v="8"/>
    <n v="4"/>
    <n v="8248"/>
    <n v="32992"/>
  </r>
  <r>
    <s v="ORD0053"/>
    <x v="52"/>
    <x v="8"/>
    <x v="0"/>
    <x v="4"/>
    <n v="32"/>
    <n v="46495"/>
    <n v="1487840"/>
  </r>
  <r>
    <s v="ORD0054"/>
    <x v="53"/>
    <x v="4"/>
    <x v="3"/>
    <x v="9"/>
    <n v="9"/>
    <n v="23048"/>
    <n v="207432"/>
  </r>
  <r>
    <s v="ORD0055"/>
    <x v="54"/>
    <x v="1"/>
    <x v="2"/>
    <x v="8"/>
    <n v="24"/>
    <n v="37760"/>
    <n v="906240"/>
  </r>
  <r>
    <s v="ORD0056"/>
    <x v="55"/>
    <x v="5"/>
    <x v="0"/>
    <x v="9"/>
    <n v="24"/>
    <n v="26203"/>
    <n v="628872"/>
  </r>
  <r>
    <s v="ORD0057"/>
    <x v="56"/>
    <x v="3"/>
    <x v="1"/>
    <x v="4"/>
    <n v="10"/>
    <n v="26971"/>
    <n v="269710"/>
  </r>
  <r>
    <s v="ORD0058"/>
    <x v="57"/>
    <x v="7"/>
    <x v="2"/>
    <x v="4"/>
    <n v="11"/>
    <n v="10932"/>
    <n v="120252"/>
  </r>
  <r>
    <s v="ORD0059"/>
    <x v="58"/>
    <x v="7"/>
    <x v="3"/>
    <x v="2"/>
    <n v="10"/>
    <n v="13150"/>
    <n v="131500"/>
  </r>
  <r>
    <s v="ORD0060"/>
    <x v="59"/>
    <x v="3"/>
    <x v="1"/>
    <x v="8"/>
    <n v="31"/>
    <n v="41924"/>
    <n v="1299644"/>
  </r>
  <r>
    <s v="ORD0061"/>
    <x v="60"/>
    <x v="3"/>
    <x v="1"/>
    <x v="4"/>
    <n v="16"/>
    <n v="6024"/>
    <n v="96384"/>
  </r>
  <r>
    <s v="ORD0062"/>
    <x v="61"/>
    <x v="0"/>
    <x v="1"/>
    <x v="2"/>
    <n v="36"/>
    <n v="6213"/>
    <n v="223668"/>
  </r>
  <r>
    <s v="ORD0063"/>
    <x v="62"/>
    <x v="5"/>
    <x v="2"/>
    <x v="1"/>
    <n v="10"/>
    <n v="6676"/>
    <n v="66760"/>
  </r>
  <r>
    <s v="ORD0064"/>
    <x v="63"/>
    <x v="2"/>
    <x v="2"/>
    <x v="9"/>
    <n v="11"/>
    <n v="42571"/>
    <n v="468281"/>
  </r>
  <r>
    <s v="ORD0065"/>
    <x v="64"/>
    <x v="4"/>
    <x v="1"/>
    <x v="1"/>
    <n v="47"/>
    <n v="29933"/>
    <n v="1406851"/>
  </r>
  <r>
    <s v="ORD0066"/>
    <x v="65"/>
    <x v="2"/>
    <x v="3"/>
    <x v="5"/>
    <n v="35"/>
    <n v="21194"/>
    <n v="741790"/>
  </r>
  <r>
    <s v="ORD0067"/>
    <x v="66"/>
    <x v="7"/>
    <x v="0"/>
    <x v="5"/>
    <n v="41"/>
    <n v="43512"/>
    <n v="1783992"/>
  </r>
  <r>
    <s v="ORD0068"/>
    <x v="67"/>
    <x v="2"/>
    <x v="1"/>
    <x v="4"/>
    <n v="22"/>
    <n v="41698"/>
    <n v="917356"/>
  </r>
  <r>
    <s v="ORD0069"/>
    <x v="68"/>
    <x v="8"/>
    <x v="2"/>
    <x v="5"/>
    <n v="13"/>
    <n v="11465"/>
    <n v="149045"/>
  </r>
  <r>
    <s v="ORD0070"/>
    <x v="69"/>
    <x v="5"/>
    <x v="2"/>
    <x v="5"/>
    <n v="8"/>
    <n v="6806"/>
    <n v="54448"/>
  </r>
  <r>
    <s v="ORD0071"/>
    <x v="70"/>
    <x v="6"/>
    <x v="1"/>
    <x v="1"/>
    <n v="8"/>
    <n v="13162"/>
    <n v="105296"/>
  </r>
  <r>
    <s v="ORD0072"/>
    <x v="71"/>
    <x v="3"/>
    <x v="0"/>
    <x v="6"/>
    <n v="25"/>
    <n v="48377"/>
    <n v="1209425"/>
  </r>
  <r>
    <s v="ORD0073"/>
    <x v="72"/>
    <x v="0"/>
    <x v="3"/>
    <x v="0"/>
    <n v="45"/>
    <n v="26093"/>
    <n v="1174185"/>
  </r>
  <r>
    <s v="ORD0074"/>
    <x v="73"/>
    <x v="7"/>
    <x v="3"/>
    <x v="8"/>
    <n v="25"/>
    <n v="30344"/>
    <n v="758600"/>
  </r>
  <r>
    <s v="ORD0075"/>
    <x v="74"/>
    <x v="5"/>
    <x v="3"/>
    <x v="1"/>
    <n v="43"/>
    <n v="16027"/>
    <n v="689161"/>
  </r>
  <r>
    <s v="ORD0076"/>
    <x v="75"/>
    <x v="6"/>
    <x v="3"/>
    <x v="3"/>
    <n v="39"/>
    <n v="6930"/>
    <n v="270270"/>
  </r>
  <r>
    <s v="ORD0077"/>
    <x v="76"/>
    <x v="8"/>
    <x v="1"/>
    <x v="4"/>
    <n v="31"/>
    <n v="22407"/>
    <n v="694617"/>
  </r>
  <r>
    <s v="ORD0078"/>
    <x v="77"/>
    <x v="8"/>
    <x v="3"/>
    <x v="6"/>
    <n v="16"/>
    <n v="45766"/>
    <n v="732256"/>
  </r>
  <r>
    <s v="ORD0079"/>
    <x v="78"/>
    <x v="9"/>
    <x v="1"/>
    <x v="2"/>
    <n v="38"/>
    <n v="38943"/>
    <n v="1479834"/>
  </r>
  <r>
    <s v="ORD0080"/>
    <x v="79"/>
    <x v="8"/>
    <x v="0"/>
    <x v="3"/>
    <n v="15"/>
    <n v="1203"/>
    <n v="18045"/>
  </r>
  <r>
    <s v="ORD0081"/>
    <x v="80"/>
    <x v="0"/>
    <x v="0"/>
    <x v="6"/>
    <n v="1"/>
    <n v="27312"/>
    <n v="27312"/>
  </r>
  <r>
    <s v="ORD0082"/>
    <x v="81"/>
    <x v="1"/>
    <x v="1"/>
    <x v="2"/>
    <n v="1"/>
    <n v="38880"/>
    <n v="38880"/>
  </r>
  <r>
    <s v="ORD0083"/>
    <x v="82"/>
    <x v="9"/>
    <x v="0"/>
    <x v="6"/>
    <n v="46"/>
    <n v="22877"/>
    <n v="1052342"/>
  </r>
  <r>
    <s v="ORD0084"/>
    <x v="83"/>
    <x v="3"/>
    <x v="0"/>
    <x v="1"/>
    <n v="37"/>
    <n v="42495"/>
    <n v="1572315"/>
  </r>
  <r>
    <s v="ORD0085"/>
    <x v="84"/>
    <x v="2"/>
    <x v="1"/>
    <x v="6"/>
    <n v="3"/>
    <n v="38816"/>
    <n v="116448"/>
  </r>
  <r>
    <s v="ORD0086"/>
    <x v="85"/>
    <x v="8"/>
    <x v="2"/>
    <x v="2"/>
    <n v="32"/>
    <n v="39031"/>
    <n v="1248992"/>
  </r>
  <r>
    <s v="ORD0087"/>
    <x v="86"/>
    <x v="3"/>
    <x v="1"/>
    <x v="1"/>
    <n v="26"/>
    <n v="3969"/>
    <n v="103194"/>
  </r>
  <r>
    <s v="ORD0088"/>
    <x v="87"/>
    <x v="4"/>
    <x v="2"/>
    <x v="7"/>
    <n v="6"/>
    <n v="38063"/>
    <n v="228378"/>
  </r>
  <r>
    <s v="ORD0089"/>
    <x v="88"/>
    <x v="0"/>
    <x v="2"/>
    <x v="8"/>
    <n v="22"/>
    <n v="29426"/>
    <n v="647372"/>
  </r>
  <r>
    <s v="ORD0090"/>
    <x v="89"/>
    <x v="8"/>
    <x v="1"/>
    <x v="6"/>
    <n v="29"/>
    <n v="30072"/>
    <n v="872088"/>
  </r>
  <r>
    <s v="ORD0091"/>
    <x v="90"/>
    <x v="6"/>
    <x v="3"/>
    <x v="0"/>
    <n v="24"/>
    <n v="23780"/>
    <n v="570720"/>
  </r>
  <r>
    <s v="ORD0092"/>
    <x v="91"/>
    <x v="3"/>
    <x v="3"/>
    <x v="3"/>
    <n v="34"/>
    <n v="20360"/>
    <n v="692240"/>
  </r>
  <r>
    <s v="ORD0093"/>
    <x v="92"/>
    <x v="9"/>
    <x v="2"/>
    <x v="9"/>
    <n v="10"/>
    <n v="26012"/>
    <n v="260120"/>
  </r>
  <r>
    <s v="ORD0094"/>
    <x v="93"/>
    <x v="0"/>
    <x v="1"/>
    <x v="4"/>
    <n v="31"/>
    <n v="48917"/>
    <n v="1516427"/>
  </r>
  <r>
    <s v="ORD0095"/>
    <x v="94"/>
    <x v="2"/>
    <x v="0"/>
    <x v="6"/>
    <n v="28"/>
    <n v="49390"/>
    <n v="1382920"/>
  </r>
  <r>
    <s v="ORD0096"/>
    <x v="95"/>
    <x v="7"/>
    <x v="1"/>
    <x v="4"/>
    <n v="20"/>
    <n v="16198"/>
    <n v="323960"/>
  </r>
  <r>
    <s v="ORD0097"/>
    <x v="96"/>
    <x v="5"/>
    <x v="1"/>
    <x v="5"/>
    <n v="18"/>
    <n v="37621"/>
    <n v="677178"/>
  </r>
  <r>
    <s v="ORD0098"/>
    <x v="97"/>
    <x v="7"/>
    <x v="1"/>
    <x v="3"/>
    <n v="23"/>
    <n v="48453"/>
    <n v="1114419"/>
  </r>
  <r>
    <s v="ORD0099"/>
    <x v="98"/>
    <x v="7"/>
    <x v="0"/>
    <x v="0"/>
    <n v="12"/>
    <n v="41635"/>
    <n v="499620"/>
  </r>
  <r>
    <s v="ORD0100"/>
    <x v="99"/>
    <x v="7"/>
    <x v="0"/>
    <x v="2"/>
    <n v="47"/>
    <n v="21279"/>
    <n v="10001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FAD3AE-200F-4093-A49C-1E603A930E10}" name="PivotTable1"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C7" firstHeaderRow="0" firstDataRow="1" firstDataCol="1"/>
  <pivotFields count="10">
    <pivotField dataField="1"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5">
        <item x="2"/>
        <item x="1"/>
        <item x="3"/>
        <item x="0"/>
        <item t="default"/>
      </items>
    </pivotField>
    <pivotField showAll="0">
      <items count="11">
        <item x="0"/>
        <item x="4"/>
        <item x="1"/>
        <item x="5"/>
        <item x="6"/>
        <item x="2"/>
        <item x="3"/>
        <item x="7"/>
        <item x="9"/>
        <item x="8"/>
        <item t="default"/>
      </items>
    </pivotField>
    <pivotField numFmtId="1" showAll="0"/>
    <pivotField numFmtId="2"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x v="3"/>
    </i>
  </rowItems>
  <colFields count="1">
    <field x="-2"/>
  </colFields>
  <colItems count="2">
    <i>
      <x/>
    </i>
    <i i="1">
      <x v="1"/>
    </i>
  </colItems>
  <dataFields count="2">
    <dataField name="Count of Total Sales" fld="7" subtotal="count" baseField="3" baseItem="0"/>
    <dataField name="Count of Order 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4354AA-ED08-4286-8A1D-043F08440C91}" name="PivotTable2"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3" firstHeaderRow="1" firstDataRow="1" firstDataCol="1"/>
  <pivotFields count="1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11">
        <item x="3"/>
        <item x="7"/>
        <item x="0"/>
        <item x="2"/>
        <item x="6"/>
        <item x="8"/>
        <item x="4"/>
        <item x="9"/>
        <item x="5"/>
        <item x="1"/>
        <item t="default"/>
      </items>
    </pivotField>
    <pivotField showAll="0">
      <items count="5">
        <item x="2"/>
        <item x="1"/>
        <item x="3"/>
        <item x="0"/>
        <item t="default"/>
      </items>
    </pivotField>
    <pivotField showAll="0">
      <items count="11">
        <item x="0"/>
        <item x="4"/>
        <item x="1"/>
        <item x="5"/>
        <item x="6"/>
        <item x="2"/>
        <item x="3"/>
        <item x="7"/>
        <item x="9"/>
        <item x="8"/>
        <item t="default"/>
      </items>
    </pivotField>
    <pivotField numFmtId="1" showAll="0"/>
    <pivotField numFmtId="2"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0">
    <i>
      <x/>
    </i>
    <i>
      <x v="1"/>
    </i>
    <i>
      <x v="2"/>
    </i>
    <i>
      <x v="3"/>
    </i>
    <i>
      <x v="4"/>
    </i>
    <i>
      <x v="5"/>
    </i>
    <i>
      <x v="6"/>
    </i>
    <i>
      <x v="7"/>
    </i>
    <i>
      <x v="8"/>
    </i>
    <i>
      <x v="9"/>
    </i>
  </rowItems>
  <colItems count="1">
    <i/>
  </colItems>
  <dataFields count="1">
    <dataField name="Sum of Total Sales" fld="7" baseField="0" baseItem="0" numFmtId="2"/>
  </dataFields>
  <chartFormats count="2">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681FC8-5C3F-47FD-826D-D4E70C01272F}" name="PivotTable3"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3" firstHeaderRow="1" firstDataRow="1" firstDataCol="1"/>
  <pivotFields count="1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items count="5">
        <item x="2"/>
        <item x="1"/>
        <item x="3"/>
        <item x="0"/>
        <item t="default"/>
      </items>
    </pivotField>
    <pivotField axis="axisRow" showAll="0">
      <items count="11">
        <item x="0"/>
        <item x="4"/>
        <item x="1"/>
        <item x="5"/>
        <item x="6"/>
        <item x="2"/>
        <item x="3"/>
        <item x="7"/>
        <item x="9"/>
        <item x="8"/>
        <item t="default"/>
      </items>
    </pivotField>
    <pivotField numFmtId="1" showAll="0"/>
    <pivotField numFmtId="2"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0">
    <i>
      <x/>
    </i>
    <i>
      <x v="1"/>
    </i>
    <i>
      <x v="2"/>
    </i>
    <i>
      <x v="3"/>
    </i>
    <i>
      <x v="4"/>
    </i>
    <i>
      <x v="5"/>
    </i>
    <i>
      <x v="6"/>
    </i>
    <i>
      <x v="7"/>
    </i>
    <i>
      <x v="8"/>
    </i>
    <i>
      <x v="9"/>
    </i>
  </rowItems>
  <colItems count="1">
    <i/>
  </colItems>
  <dataFields count="1">
    <dataField name="Sum of Total Sales" fld="7" baseField="0" baseItem="0" numFmtId="2"/>
  </dataFields>
  <chartFormats count="12">
    <chartFormat chart="0"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4" count="1" selected="0">
            <x v="0"/>
          </reference>
        </references>
      </pivotArea>
    </chartFormat>
    <chartFormat chart="4" format="14">
      <pivotArea type="data" outline="0" fieldPosition="0">
        <references count="2">
          <reference field="4294967294" count="1" selected="0">
            <x v="0"/>
          </reference>
          <reference field="4" count="1" selected="0">
            <x v="1"/>
          </reference>
        </references>
      </pivotArea>
    </chartFormat>
    <chartFormat chart="4" format="15">
      <pivotArea type="data" outline="0" fieldPosition="0">
        <references count="2">
          <reference field="4294967294" count="1" selected="0">
            <x v="0"/>
          </reference>
          <reference field="4" count="1" selected="0">
            <x v="2"/>
          </reference>
        </references>
      </pivotArea>
    </chartFormat>
    <chartFormat chart="4" format="16">
      <pivotArea type="data" outline="0" fieldPosition="0">
        <references count="2">
          <reference field="4294967294" count="1" selected="0">
            <x v="0"/>
          </reference>
          <reference field="4" count="1" selected="0">
            <x v="3"/>
          </reference>
        </references>
      </pivotArea>
    </chartFormat>
    <chartFormat chart="4" format="17">
      <pivotArea type="data" outline="0" fieldPosition="0">
        <references count="2">
          <reference field="4294967294" count="1" selected="0">
            <x v="0"/>
          </reference>
          <reference field="4" count="1" selected="0">
            <x v="4"/>
          </reference>
        </references>
      </pivotArea>
    </chartFormat>
    <chartFormat chart="4" format="18">
      <pivotArea type="data" outline="0" fieldPosition="0">
        <references count="2">
          <reference field="4294967294" count="1" selected="0">
            <x v="0"/>
          </reference>
          <reference field="4" count="1" selected="0">
            <x v="5"/>
          </reference>
        </references>
      </pivotArea>
    </chartFormat>
    <chartFormat chart="4" format="19">
      <pivotArea type="data" outline="0" fieldPosition="0">
        <references count="2">
          <reference field="4294967294" count="1" selected="0">
            <x v="0"/>
          </reference>
          <reference field="4" count="1" selected="0">
            <x v="6"/>
          </reference>
        </references>
      </pivotArea>
    </chartFormat>
    <chartFormat chart="4" format="20">
      <pivotArea type="data" outline="0" fieldPosition="0">
        <references count="2">
          <reference field="4294967294" count="1" selected="0">
            <x v="0"/>
          </reference>
          <reference field="4" count="1" selected="0">
            <x v="7"/>
          </reference>
        </references>
      </pivotArea>
    </chartFormat>
    <chartFormat chart="4" format="21">
      <pivotArea type="data" outline="0" fieldPosition="0">
        <references count="2">
          <reference field="4294967294" count="1" selected="0">
            <x v="0"/>
          </reference>
          <reference field="4" count="1" selected="0">
            <x v="8"/>
          </reference>
        </references>
      </pivotArea>
    </chartFormat>
    <chartFormat chart="4" format="22">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1DCAC9-A04E-40AC-BDA6-24115F6244AA}" name="PivotTable4"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3" firstHeaderRow="1" firstDataRow="1" firstDataCol="1"/>
  <pivotFields count="1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11">
        <item x="3"/>
        <item x="7"/>
        <item x="0"/>
        <item x="2"/>
        <item x="6"/>
        <item x="8"/>
        <item x="4"/>
        <item x="9"/>
        <item x="5"/>
        <item x="1"/>
        <item t="default"/>
      </items>
    </pivotField>
    <pivotField showAll="0">
      <items count="5">
        <item x="2"/>
        <item x="1"/>
        <item x="3"/>
        <item x="0"/>
        <item t="default"/>
      </items>
    </pivotField>
    <pivotField showAll="0">
      <items count="11">
        <item x="0"/>
        <item x="4"/>
        <item x="1"/>
        <item x="5"/>
        <item x="6"/>
        <item x="2"/>
        <item x="3"/>
        <item x="7"/>
        <item x="9"/>
        <item x="8"/>
        <item t="default"/>
      </items>
    </pivotField>
    <pivotField dataField="1" numFmtId="1" showAll="0"/>
    <pivotField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0">
    <i>
      <x/>
    </i>
    <i>
      <x v="1"/>
    </i>
    <i>
      <x v="2"/>
    </i>
    <i>
      <x v="3"/>
    </i>
    <i>
      <x v="4"/>
    </i>
    <i>
      <x v="5"/>
    </i>
    <i>
      <x v="6"/>
    </i>
    <i>
      <x v="7"/>
    </i>
    <i>
      <x v="8"/>
    </i>
    <i>
      <x v="9"/>
    </i>
  </rowItems>
  <colItems count="1">
    <i/>
  </colItems>
  <dataFields count="1">
    <dataField name="Sum of Units Sold" fld="5"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D833E1-E015-443E-809D-CEC9F4D939B7}" name="PivotTable6"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7" firstHeaderRow="1" firstDataRow="1" firstDataCol="1"/>
  <pivotFields count="10">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items count="5">
        <item x="2"/>
        <item x="1"/>
        <item x="3"/>
        <item x="0"/>
        <item t="default"/>
      </items>
    </pivotField>
    <pivotField showAll="0">
      <items count="11">
        <item x="0"/>
        <item x="4"/>
        <item x="1"/>
        <item x="5"/>
        <item x="6"/>
        <item x="2"/>
        <item x="3"/>
        <item x="7"/>
        <item x="9"/>
        <item x="8"/>
        <item t="default"/>
      </items>
    </pivotField>
    <pivotField numFmtId="1" showAll="0"/>
    <pivotField numFmtId="2"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4">
    <i>
      <x v="9"/>
    </i>
    <i>
      <x v="10"/>
    </i>
    <i>
      <x v="11"/>
    </i>
    <i>
      <x v="12"/>
    </i>
  </rowItems>
  <colItems count="1">
    <i/>
  </colItems>
  <dataFields count="1">
    <dataField name="Sum of Total Sales" fld="7"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2B6A9650-D903-43A6-9EEA-E5412B445E93}" sourceName="Salesperson">
  <pivotTables>
    <pivotTable tabId="9" name="PivotTable6"/>
    <pivotTable tabId="2" name="PivotTable1"/>
    <pivotTable tabId="5" name="PivotTable2"/>
    <pivotTable tabId="6" name="PivotTable3"/>
    <pivotTable tabId="7" name="PivotTable4"/>
  </pivotTables>
  <data>
    <tabular pivotCacheId="1949799660">
      <items count="10">
        <i x="0" s="1"/>
        <i x="4" s="1"/>
        <i x="1" s="1"/>
        <i x="5" s="1"/>
        <i x="6" s="1"/>
        <i x="2" s="1"/>
        <i x="3" s="1"/>
        <i x="7" s="1"/>
        <i x="9"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E02DFDF-268F-4BC1-9517-2031E57F0EB2}" sourceName="Region">
  <pivotTables>
    <pivotTable tabId="9" name="PivotTable6"/>
    <pivotTable tabId="2" name="PivotTable1"/>
    <pivotTable tabId="5" name="PivotTable2"/>
    <pivotTable tabId="6" name="PivotTable3"/>
    <pivotTable tabId="7" name="PivotTable4"/>
  </pivotTables>
  <data>
    <tabular pivotCacheId="1949799660">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1801C3A6-C0DF-46D8-A61B-C030A81690E9}" sourceName="Months (Order Date)">
  <pivotTables>
    <pivotTable tabId="7" name="PivotTable4"/>
    <pivotTable tabId="2" name="PivotTable1"/>
    <pivotTable tabId="5" name="PivotTable2"/>
    <pivotTable tabId="6" name="PivotTable3"/>
    <pivotTable tabId="9" name="PivotTable6"/>
  </pivotTables>
  <data>
    <tabular pivotCacheId="1949799660">
      <items count="14">
        <i x="9" s="1"/>
        <i x="10" s="1"/>
        <i x="11" s="1"/>
        <i x="12" s="1"/>
        <i x="1" s="1" nd="1"/>
        <i x="2" s="1" nd="1"/>
        <i x="3" s="1" nd="1"/>
        <i x="4" s="1" nd="1"/>
        <i x="5" s="1" nd="1"/>
        <i x="6" s="1" nd="1"/>
        <i x="7" s="1" nd="1"/>
        <i x="8"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947884FF-7C59-4DB2-A1CE-F59B3FFC1E12}" cache="Slicer_Salesperson1" caption="Salesperson" rowHeight="251883"/>
  <slicer name="Region" xr10:uid="{5B44E820-F988-4D8E-AB29-AD06568A9A85}" cache="Slicer_Region1" caption="Region" rowHeight="251883"/>
  <slicer name="Months (Order Date)" xr10:uid="{67AE71CC-26F9-4404-9673-3AF764F4FCB0}" cache="Slicer_Months__Order_Date" caption="Months (Order Dat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669C10-ED2D-4482-B460-38D9FF7EFCF3}" name="Table2" displayName="Table2" ref="A1:I101" totalsRowShown="0">
  <autoFilter ref="A1:I101" xr:uid="{CF669C10-ED2D-4482-B460-38D9FF7EFCF3}"/>
  <tableColumns count="9">
    <tableColumn id="1" xr3:uid="{96276AB3-261F-4325-AD54-62287D94A090}" name="Order ID" dataDxfId="8"/>
    <tableColumn id="2" xr3:uid="{223B5983-9DA4-425C-ABEE-DF448A46236D}" name="Order Date" dataDxfId="7"/>
    <tableColumn id="3" xr3:uid="{30820FA3-2509-44D2-B827-1849F669FC63}" name="MONTH" dataDxfId="6">
      <calculatedColumnFormula>TEXT(B2,"MMMM")</calculatedColumnFormula>
    </tableColumn>
    <tableColumn id="4" xr3:uid="{59B77A21-1A00-4607-801B-80404046FA53}" name="Product" dataDxfId="5"/>
    <tableColumn id="5" xr3:uid="{CDDC226C-546A-405C-BFCD-0C2DD97D531B}" name="Region" dataDxfId="4"/>
    <tableColumn id="6" xr3:uid="{FEA1283B-BFD4-4B65-90B7-2AA8C0D2A465}" name="Salesperson" dataDxfId="3"/>
    <tableColumn id="7" xr3:uid="{B737C4FC-CB56-4920-B212-7CDEC85C978A}" name="Units Sold" dataDxfId="2"/>
    <tableColumn id="8" xr3:uid="{DB3592FF-F963-4F88-8C73-D70D45F70111}" name="Unit Price" dataDxfId="1"/>
    <tableColumn id="9" xr3:uid="{2AF929C3-1D8C-49F5-B9AF-906DEC9D71D3}" name="Total 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DDCBA-E408-499E-8A97-7B36ACBC31F6}">
  <dimension ref="A3:C7"/>
  <sheetViews>
    <sheetView workbookViewId="0">
      <selection activeCell="J4" sqref="J4"/>
    </sheetView>
  </sheetViews>
  <sheetFormatPr defaultRowHeight="14.5" x14ac:dyDescent="0.35"/>
  <cols>
    <col min="1" max="1" width="12.453125" bestFit="1" customWidth="1"/>
    <col min="2" max="2" width="17.453125" bestFit="1" customWidth="1"/>
    <col min="3" max="3" width="15.1796875" bestFit="1" customWidth="1"/>
  </cols>
  <sheetData>
    <row r="3" spans="1:3" x14ac:dyDescent="0.35">
      <c r="A3" s="5" t="s">
        <v>132</v>
      </c>
      <c r="B3" t="s">
        <v>135</v>
      </c>
      <c r="C3" t="s">
        <v>133</v>
      </c>
    </row>
    <row r="4" spans="1:3" x14ac:dyDescent="0.35">
      <c r="A4" s="6" t="s">
        <v>19</v>
      </c>
      <c r="B4" s="7">
        <v>19</v>
      </c>
      <c r="C4" s="7">
        <v>19</v>
      </c>
    </row>
    <row r="5" spans="1:3" x14ac:dyDescent="0.35">
      <c r="A5" s="6" t="s">
        <v>13</v>
      </c>
      <c r="B5" s="7">
        <v>31</v>
      </c>
      <c r="C5" s="7">
        <v>31</v>
      </c>
    </row>
    <row r="6" spans="1:3" x14ac:dyDescent="0.35">
      <c r="A6" s="6" t="s">
        <v>25</v>
      </c>
      <c r="B6" s="7">
        <v>19</v>
      </c>
      <c r="C6" s="7">
        <v>19</v>
      </c>
    </row>
    <row r="7" spans="1:3" x14ac:dyDescent="0.35">
      <c r="A7" s="6" t="s">
        <v>10</v>
      </c>
      <c r="B7" s="7">
        <v>31</v>
      </c>
      <c r="C7" s="7">
        <v>31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CD19B-1CAC-41B8-ABF7-68EA0F9C968D}">
  <dimension ref="A3:B13"/>
  <sheetViews>
    <sheetView workbookViewId="0">
      <selection activeCell="K7" sqref="K7"/>
    </sheetView>
  </sheetViews>
  <sheetFormatPr defaultRowHeight="14.5" x14ac:dyDescent="0.35"/>
  <cols>
    <col min="1" max="1" width="12.453125" bestFit="1" customWidth="1"/>
    <col min="2" max="2" width="16.08984375" bestFit="1" customWidth="1"/>
  </cols>
  <sheetData>
    <row r="3" spans="1:2" x14ac:dyDescent="0.35">
      <c r="A3" s="5" t="s">
        <v>132</v>
      </c>
      <c r="B3" t="s">
        <v>134</v>
      </c>
    </row>
    <row r="4" spans="1:2" x14ac:dyDescent="0.35">
      <c r="A4" s="6" t="s">
        <v>24</v>
      </c>
      <c r="B4" s="3">
        <v>9107124</v>
      </c>
    </row>
    <row r="5" spans="1:2" x14ac:dyDescent="0.35">
      <c r="A5" s="6" t="s">
        <v>46</v>
      </c>
      <c r="B5" s="3">
        <v>7075259</v>
      </c>
    </row>
    <row r="6" spans="1:2" x14ac:dyDescent="0.35">
      <c r="A6" s="6" t="s">
        <v>9</v>
      </c>
      <c r="B6" s="3">
        <v>6511469</v>
      </c>
    </row>
    <row r="7" spans="1:2" x14ac:dyDescent="0.35">
      <c r="A7" s="6" t="s">
        <v>18</v>
      </c>
      <c r="B7" s="3">
        <v>5675400</v>
      </c>
    </row>
    <row r="8" spans="1:2" x14ac:dyDescent="0.35">
      <c r="A8" s="6" t="s">
        <v>34</v>
      </c>
      <c r="B8" s="3">
        <v>6857683</v>
      </c>
    </row>
    <row r="9" spans="1:2" x14ac:dyDescent="0.35">
      <c r="A9" s="6" t="s">
        <v>48</v>
      </c>
      <c r="B9" s="3">
        <v>5971248</v>
      </c>
    </row>
    <row r="10" spans="1:2" x14ac:dyDescent="0.35">
      <c r="A10" s="6" t="s">
        <v>28</v>
      </c>
      <c r="B10" s="3">
        <v>6257532</v>
      </c>
    </row>
    <row r="11" spans="1:2" x14ac:dyDescent="0.35">
      <c r="A11" s="6" t="s">
        <v>55</v>
      </c>
      <c r="B11" s="3">
        <v>4993065</v>
      </c>
    </row>
    <row r="12" spans="1:2" x14ac:dyDescent="0.35">
      <c r="A12" s="6" t="s">
        <v>31</v>
      </c>
      <c r="B12" s="3">
        <v>4585450</v>
      </c>
    </row>
    <row r="13" spans="1:2" x14ac:dyDescent="0.35">
      <c r="A13" s="6" t="s">
        <v>15</v>
      </c>
      <c r="B13" s="3">
        <v>7568839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46AD3-B097-449D-8C18-694165BCC1BF}">
  <dimension ref="A3:B13"/>
  <sheetViews>
    <sheetView workbookViewId="0">
      <selection activeCell="B13" sqref="A3:B13"/>
    </sheetView>
  </sheetViews>
  <sheetFormatPr defaultRowHeight="14.5" x14ac:dyDescent="0.35"/>
  <cols>
    <col min="1" max="1" width="12.453125" bestFit="1" customWidth="1"/>
    <col min="2" max="2" width="16.08984375" bestFit="1" customWidth="1"/>
  </cols>
  <sheetData>
    <row r="3" spans="1:2" x14ac:dyDescent="0.35">
      <c r="A3" s="5" t="s">
        <v>132</v>
      </c>
      <c r="B3" t="s">
        <v>134</v>
      </c>
    </row>
    <row r="4" spans="1:2" x14ac:dyDescent="0.35">
      <c r="A4" s="6" t="s">
        <v>11</v>
      </c>
      <c r="B4" s="3">
        <v>3680480</v>
      </c>
    </row>
    <row r="5" spans="1:2" x14ac:dyDescent="0.35">
      <c r="A5" s="6" t="s">
        <v>26</v>
      </c>
      <c r="B5" s="3">
        <v>12305798</v>
      </c>
    </row>
    <row r="6" spans="1:2" x14ac:dyDescent="0.35">
      <c r="A6" s="6" t="s">
        <v>16</v>
      </c>
      <c r="B6" s="3">
        <v>6368338</v>
      </c>
    </row>
    <row r="7" spans="1:2" x14ac:dyDescent="0.35">
      <c r="A7" s="6" t="s">
        <v>29</v>
      </c>
      <c r="B7" s="3">
        <v>10464998</v>
      </c>
    </row>
    <row r="8" spans="1:2" x14ac:dyDescent="0.35">
      <c r="A8" s="6" t="s">
        <v>32</v>
      </c>
      <c r="B8" s="3">
        <v>10424964</v>
      </c>
    </row>
    <row r="9" spans="1:2" x14ac:dyDescent="0.35">
      <c r="A9" s="6" t="s">
        <v>20</v>
      </c>
      <c r="B9" s="3">
        <v>5364244</v>
      </c>
    </row>
    <row r="10" spans="1:2" x14ac:dyDescent="0.35">
      <c r="A10" s="6" t="s">
        <v>22</v>
      </c>
      <c r="B10" s="3">
        <v>4871544</v>
      </c>
    </row>
    <row r="11" spans="1:2" x14ac:dyDescent="0.35">
      <c r="A11" s="6" t="s">
        <v>35</v>
      </c>
      <c r="B11" s="3">
        <v>1369452</v>
      </c>
    </row>
    <row r="12" spans="1:2" x14ac:dyDescent="0.35">
      <c r="A12" s="6" t="s">
        <v>56</v>
      </c>
      <c r="B12" s="3">
        <v>3429771</v>
      </c>
    </row>
    <row r="13" spans="1:2" x14ac:dyDescent="0.35">
      <c r="A13" s="6" t="s">
        <v>38</v>
      </c>
      <c r="B13" s="3">
        <v>6323480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4DC23-EB67-4F41-AC4B-F7AF19B9E165}">
  <dimension ref="A3:B13"/>
  <sheetViews>
    <sheetView workbookViewId="0">
      <selection activeCell="A3" sqref="A3:B13"/>
    </sheetView>
  </sheetViews>
  <sheetFormatPr defaultRowHeight="14.5" x14ac:dyDescent="0.35"/>
  <cols>
    <col min="1" max="1" width="12.453125" bestFit="1" customWidth="1"/>
    <col min="2" max="2" width="15.6328125" bestFit="1" customWidth="1"/>
  </cols>
  <sheetData>
    <row r="3" spans="1:2" x14ac:dyDescent="0.35">
      <c r="A3" s="5" t="s">
        <v>132</v>
      </c>
      <c r="B3" t="s">
        <v>137</v>
      </c>
    </row>
    <row r="4" spans="1:2" x14ac:dyDescent="0.35">
      <c r="A4" s="6" t="s">
        <v>24</v>
      </c>
      <c r="B4" s="4">
        <v>279</v>
      </c>
    </row>
    <row r="5" spans="1:2" x14ac:dyDescent="0.35">
      <c r="A5" s="6" t="s">
        <v>46</v>
      </c>
      <c r="B5" s="4">
        <v>282</v>
      </c>
    </row>
    <row r="6" spans="1:2" x14ac:dyDescent="0.35">
      <c r="A6" s="6" t="s">
        <v>9</v>
      </c>
      <c r="B6" s="4">
        <v>235</v>
      </c>
    </row>
    <row r="7" spans="1:2" x14ac:dyDescent="0.35">
      <c r="A7" s="6" t="s">
        <v>18</v>
      </c>
      <c r="B7" s="4">
        <v>186</v>
      </c>
    </row>
    <row r="8" spans="1:2" x14ac:dyDescent="0.35">
      <c r="A8" s="6" t="s">
        <v>34</v>
      </c>
      <c r="B8" s="4">
        <v>284</v>
      </c>
    </row>
    <row r="9" spans="1:2" x14ac:dyDescent="0.35">
      <c r="A9" s="6" t="s">
        <v>48</v>
      </c>
      <c r="B9" s="4">
        <v>248</v>
      </c>
    </row>
    <row r="10" spans="1:2" x14ac:dyDescent="0.35">
      <c r="A10" s="6" t="s">
        <v>28</v>
      </c>
      <c r="B10" s="4">
        <v>301</v>
      </c>
    </row>
    <row r="11" spans="1:2" x14ac:dyDescent="0.35">
      <c r="A11" s="6" t="s">
        <v>55</v>
      </c>
      <c r="B11" s="4">
        <v>228</v>
      </c>
    </row>
    <row r="12" spans="1:2" x14ac:dyDescent="0.35">
      <c r="A12" s="6" t="s">
        <v>31</v>
      </c>
      <c r="B12" s="4">
        <v>220</v>
      </c>
    </row>
    <row r="13" spans="1:2" x14ac:dyDescent="0.35">
      <c r="A13" s="6" t="s">
        <v>15</v>
      </c>
      <c r="B13" s="4">
        <v>253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CF980-FE0A-4D50-8A7F-A937172B8CD4}">
  <dimension ref="A3:B7"/>
  <sheetViews>
    <sheetView workbookViewId="0">
      <selection activeCell="A3" sqref="A3:B7"/>
    </sheetView>
  </sheetViews>
  <sheetFormatPr defaultRowHeight="14.5" x14ac:dyDescent="0.35"/>
  <cols>
    <col min="1" max="1" width="12.453125" bestFit="1" customWidth="1"/>
    <col min="2" max="2" width="16.08984375" bestFit="1" customWidth="1"/>
  </cols>
  <sheetData>
    <row r="3" spans="1:2" x14ac:dyDescent="0.35">
      <c r="A3" s="5" t="s">
        <v>132</v>
      </c>
      <c r="B3" t="s">
        <v>134</v>
      </c>
    </row>
    <row r="4" spans="1:2" x14ac:dyDescent="0.35">
      <c r="A4" s="6" t="s">
        <v>139</v>
      </c>
      <c r="B4" s="3">
        <v>15085836</v>
      </c>
    </row>
    <row r="5" spans="1:2" x14ac:dyDescent="0.35">
      <c r="A5" s="6" t="s">
        <v>140</v>
      </c>
      <c r="B5" s="3">
        <v>22531931</v>
      </c>
    </row>
    <row r="6" spans="1:2" x14ac:dyDescent="0.35">
      <c r="A6" s="6" t="s">
        <v>141</v>
      </c>
      <c r="B6" s="3">
        <v>18947585</v>
      </c>
    </row>
    <row r="7" spans="1:2" x14ac:dyDescent="0.35">
      <c r="A7" s="6" t="s">
        <v>142</v>
      </c>
      <c r="B7" s="3">
        <v>8037717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7B093-5FB2-42D8-B108-9DF546C9C245}">
  <dimension ref="A1:I101"/>
  <sheetViews>
    <sheetView topLeftCell="B1" workbookViewId="0">
      <pane ySplit="1" topLeftCell="A2" activePane="bottomLeft" state="frozen"/>
      <selection pane="bottomLeft" activeCell="O34" sqref="O34"/>
    </sheetView>
  </sheetViews>
  <sheetFormatPr defaultRowHeight="14.5" x14ac:dyDescent="0.35"/>
  <cols>
    <col min="1" max="1" width="9.6328125" customWidth="1"/>
    <col min="2" max="2" width="11.7265625" customWidth="1"/>
    <col min="3" max="3" width="10.08984375" customWidth="1"/>
    <col min="4" max="4" width="9.36328125" customWidth="1"/>
    <col min="6" max="6" width="13.08984375" customWidth="1"/>
    <col min="7" max="7" width="11.36328125" customWidth="1"/>
    <col min="8" max="8" width="11" customWidth="1"/>
    <col min="9" max="9" width="11.81640625" customWidth="1"/>
  </cols>
  <sheetData>
    <row r="1" spans="1:9" x14ac:dyDescent="0.35">
      <c r="A1" t="s">
        <v>0</v>
      </c>
      <c r="B1" t="s">
        <v>1</v>
      </c>
      <c r="C1" t="s">
        <v>138</v>
      </c>
      <c r="D1" t="s">
        <v>2</v>
      </c>
      <c r="E1" t="s">
        <v>3</v>
      </c>
      <c r="F1" t="s">
        <v>4</v>
      </c>
      <c r="G1" t="s">
        <v>5</v>
      </c>
      <c r="H1" t="s">
        <v>6</v>
      </c>
      <c r="I1" t="s">
        <v>7</v>
      </c>
    </row>
    <row r="2" spans="1:9" x14ac:dyDescent="0.35">
      <c r="A2" s="2" t="s">
        <v>8</v>
      </c>
      <c r="B2" s="1">
        <v>45537</v>
      </c>
      <c r="C2" s="1" t="str">
        <f>TEXT(B2,"MMMM")</f>
        <v>September</v>
      </c>
      <c r="D2" s="2" t="s">
        <v>9</v>
      </c>
      <c r="E2" s="2" t="s">
        <v>10</v>
      </c>
      <c r="F2" s="2" t="s">
        <v>11</v>
      </c>
      <c r="G2" s="4">
        <v>18</v>
      </c>
      <c r="H2" s="3">
        <v>46748</v>
      </c>
      <c r="I2" s="3">
        <v>841464</v>
      </c>
    </row>
    <row r="3" spans="1:9" x14ac:dyDescent="0.35">
      <c r="A3" s="2" t="s">
        <v>12</v>
      </c>
      <c r="B3" s="1">
        <v>45538</v>
      </c>
      <c r="C3" s="1" t="str">
        <f t="shared" ref="C3:C66" si="0">TEXT(B3,"MMMM")</f>
        <v>September</v>
      </c>
      <c r="D3" s="2" t="s">
        <v>9</v>
      </c>
      <c r="E3" s="2" t="s">
        <v>13</v>
      </c>
      <c r="F3" s="2" t="s">
        <v>11</v>
      </c>
      <c r="G3" s="4">
        <v>22</v>
      </c>
      <c r="H3" s="3">
        <v>3257</v>
      </c>
      <c r="I3" s="3">
        <v>71654</v>
      </c>
    </row>
    <row r="4" spans="1:9" x14ac:dyDescent="0.35">
      <c r="A4" s="2" t="s">
        <v>14</v>
      </c>
      <c r="B4" s="1">
        <v>45539</v>
      </c>
      <c r="C4" s="1" t="str">
        <f t="shared" si="0"/>
        <v>September</v>
      </c>
      <c r="D4" s="2" t="s">
        <v>15</v>
      </c>
      <c r="E4" s="2" t="s">
        <v>10</v>
      </c>
      <c r="F4" s="2" t="s">
        <v>16</v>
      </c>
      <c r="G4" s="4">
        <v>47</v>
      </c>
      <c r="H4" s="3">
        <v>27416</v>
      </c>
      <c r="I4" s="3">
        <v>1288552</v>
      </c>
    </row>
    <row r="5" spans="1:9" x14ac:dyDescent="0.35">
      <c r="A5" s="2" t="s">
        <v>17</v>
      </c>
      <c r="B5" s="1">
        <v>45540</v>
      </c>
      <c r="C5" s="1" t="str">
        <f t="shared" si="0"/>
        <v>September</v>
      </c>
      <c r="D5" s="2" t="s">
        <v>18</v>
      </c>
      <c r="E5" s="2" t="s">
        <v>19</v>
      </c>
      <c r="F5" s="2" t="s">
        <v>20</v>
      </c>
      <c r="G5" s="4">
        <v>42</v>
      </c>
      <c r="H5" s="3">
        <v>10436</v>
      </c>
      <c r="I5" s="3">
        <v>438312</v>
      </c>
    </row>
    <row r="6" spans="1:9" x14ac:dyDescent="0.35">
      <c r="A6" s="2" t="s">
        <v>21</v>
      </c>
      <c r="B6" s="1">
        <v>45541</v>
      </c>
      <c r="C6" s="1" t="str">
        <f t="shared" si="0"/>
        <v>September</v>
      </c>
      <c r="D6" s="2" t="s">
        <v>9</v>
      </c>
      <c r="E6" s="2" t="s">
        <v>13</v>
      </c>
      <c r="F6" s="2" t="s">
        <v>22</v>
      </c>
      <c r="G6" s="4">
        <v>13</v>
      </c>
      <c r="H6" s="3">
        <v>23107</v>
      </c>
      <c r="I6" s="3">
        <v>300391</v>
      </c>
    </row>
    <row r="7" spans="1:9" x14ac:dyDescent="0.35">
      <c r="A7" s="2" t="s">
        <v>23</v>
      </c>
      <c r="B7" s="1">
        <v>45542</v>
      </c>
      <c r="C7" s="1" t="str">
        <f t="shared" si="0"/>
        <v>September</v>
      </c>
      <c r="D7" s="2" t="s">
        <v>24</v>
      </c>
      <c r="E7" s="2" t="s">
        <v>25</v>
      </c>
      <c r="F7" s="2" t="s">
        <v>26</v>
      </c>
      <c r="G7" s="4">
        <v>30</v>
      </c>
      <c r="H7" s="3">
        <v>34879</v>
      </c>
      <c r="I7" s="3">
        <v>1046370</v>
      </c>
    </row>
    <row r="8" spans="1:9" x14ac:dyDescent="0.35">
      <c r="A8" s="2" t="s">
        <v>27</v>
      </c>
      <c r="B8" s="1">
        <v>45543</v>
      </c>
      <c r="C8" s="1" t="str">
        <f t="shared" si="0"/>
        <v>September</v>
      </c>
      <c r="D8" s="2" t="s">
        <v>28</v>
      </c>
      <c r="E8" s="2" t="s">
        <v>10</v>
      </c>
      <c r="F8" s="2" t="s">
        <v>29</v>
      </c>
      <c r="G8" s="4">
        <v>16</v>
      </c>
      <c r="H8" s="3">
        <v>6170</v>
      </c>
      <c r="I8" s="3">
        <v>98720</v>
      </c>
    </row>
    <row r="9" spans="1:9" x14ac:dyDescent="0.35">
      <c r="A9" s="2" t="s">
        <v>30</v>
      </c>
      <c r="B9" s="1">
        <v>45544</v>
      </c>
      <c r="C9" s="1" t="str">
        <f t="shared" si="0"/>
        <v>September</v>
      </c>
      <c r="D9" s="2" t="s">
        <v>31</v>
      </c>
      <c r="E9" s="2" t="s">
        <v>10</v>
      </c>
      <c r="F9" s="2" t="s">
        <v>32</v>
      </c>
      <c r="G9" s="4">
        <v>38</v>
      </c>
      <c r="H9" s="3">
        <v>2373</v>
      </c>
      <c r="I9" s="3">
        <v>90174</v>
      </c>
    </row>
    <row r="10" spans="1:9" x14ac:dyDescent="0.35">
      <c r="A10" s="2" t="s">
        <v>33</v>
      </c>
      <c r="B10" s="1">
        <v>45545</v>
      </c>
      <c r="C10" s="1" t="str">
        <f t="shared" si="0"/>
        <v>September</v>
      </c>
      <c r="D10" s="2" t="s">
        <v>34</v>
      </c>
      <c r="E10" s="2" t="s">
        <v>10</v>
      </c>
      <c r="F10" s="2" t="s">
        <v>35</v>
      </c>
      <c r="G10" s="4">
        <v>34</v>
      </c>
      <c r="H10" s="3">
        <v>28401</v>
      </c>
      <c r="I10" s="3">
        <v>965634</v>
      </c>
    </row>
    <row r="11" spans="1:9" x14ac:dyDescent="0.35">
      <c r="A11" s="2" t="s">
        <v>36</v>
      </c>
      <c r="B11" s="1">
        <v>45546</v>
      </c>
      <c r="C11" s="1" t="str">
        <f t="shared" si="0"/>
        <v>September</v>
      </c>
      <c r="D11" s="2" t="s">
        <v>9</v>
      </c>
      <c r="E11" s="2" t="s">
        <v>19</v>
      </c>
      <c r="F11" s="2" t="s">
        <v>11</v>
      </c>
      <c r="G11" s="4">
        <v>9</v>
      </c>
      <c r="H11" s="3">
        <v>11888</v>
      </c>
      <c r="I11" s="3">
        <v>106992</v>
      </c>
    </row>
    <row r="12" spans="1:9" x14ac:dyDescent="0.35">
      <c r="A12" s="2" t="s">
        <v>37</v>
      </c>
      <c r="B12" s="1">
        <v>45547</v>
      </c>
      <c r="C12" s="1" t="str">
        <f t="shared" si="0"/>
        <v>September</v>
      </c>
      <c r="D12" s="2" t="s">
        <v>24</v>
      </c>
      <c r="E12" s="2" t="s">
        <v>25</v>
      </c>
      <c r="F12" s="2" t="s">
        <v>38</v>
      </c>
      <c r="G12" s="4">
        <v>44</v>
      </c>
      <c r="H12" s="3">
        <v>39242</v>
      </c>
      <c r="I12" s="3">
        <v>1726648</v>
      </c>
    </row>
    <row r="13" spans="1:9" x14ac:dyDescent="0.35">
      <c r="A13" s="2" t="s">
        <v>39</v>
      </c>
      <c r="B13" s="1">
        <v>45548</v>
      </c>
      <c r="C13" s="1" t="str">
        <f t="shared" si="0"/>
        <v>September</v>
      </c>
      <c r="D13" s="2" t="s">
        <v>28</v>
      </c>
      <c r="E13" s="2" t="s">
        <v>13</v>
      </c>
      <c r="F13" s="2" t="s">
        <v>20</v>
      </c>
      <c r="G13" s="4">
        <v>9</v>
      </c>
      <c r="H13" s="3">
        <v>25273</v>
      </c>
      <c r="I13" s="3">
        <v>227457</v>
      </c>
    </row>
    <row r="14" spans="1:9" x14ac:dyDescent="0.35">
      <c r="A14" s="2" t="s">
        <v>40</v>
      </c>
      <c r="B14" s="1">
        <v>45549</v>
      </c>
      <c r="C14" s="1" t="str">
        <f t="shared" si="0"/>
        <v>September</v>
      </c>
      <c r="D14" s="2" t="s">
        <v>31</v>
      </c>
      <c r="E14" s="2" t="s">
        <v>19</v>
      </c>
      <c r="F14" s="2" t="s">
        <v>32</v>
      </c>
      <c r="G14" s="4">
        <v>7</v>
      </c>
      <c r="H14" s="3">
        <v>18771</v>
      </c>
      <c r="I14" s="3">
        <v>131397</v>
      </c>
    </row>
    <row r="15" spans="1:9" x14ac:dyDescent="0.35">
      <c r="A15" s="2" t="s">
        <v>41</v>
      </c>
      <c r="B15" s="1">
        <v>45550</v>
      </c>
      <c r="C15" s="1" t="str">
        <f t="shared" si="0"/>
        <v>September</v>
      </c>
      <c r="D15" s="2" t="s">
        <v>31</v>
      </c>
      <c r="E15" s="2" t="s">
        <v>10</v>
      </c>
      <c r="F15" s="2" t="s">
        <v>20</v>
      </c>
      <c r="G15" s="4">
        <v>10</v>
      </c>
      <c r="H15" s="3">
        <v>12954</v>
      </c>
      <c r="I15" s="3">
        <v>129540</v>
      </c>
    </row>
    <row r="16" spans="1:9" x14ac:dyDescent="0.35">
      <c r="A16" s="2" t="s">
        <v>42</v>
      </c>
      <c r="B16" s="1">
        <v>45551</v>
      </c>
      <c r="C16" s="1" t="str">
        <f t="shared" si="0"/>
        <v>September</v>
      </c>
      <c r="D16" s="2" t="s">
        <v>9</v>
      </c>
      <c r="E16" s="2" t="s">
        <v>13</v>
      </c>
      <c r="F16" s="2" t="s">
        <v>26</v>
      </c>
      <c r="G16" s="4">
        <v>38</v>
      </c>
      <c r="H16" s="3">
        <v>42158</v>
      </c>
      <c r="I16" s="3">
        <v>1602004</v>
      </c>
    </row>
    <row r="17" spans="1:9" x14ac:dyDescent="0.35">
      <c r="A17" s="2" t="s">
        <v>43</v>
      </c>
      <c r="B17" s="1">
        <v>45552</v>
      </c>
      <c r="C17" s="1" t="str">
        <f t="shared" si="0"/>
        <v>September</v>
      </c>
      <c r="D17" s="2" t="s">
        <v>34</v>
      </c>
      <c r="E17" s="2" t="s">
        <v>13</v>
      </c>
      <c r="F17" s="2" t="s">
        <v>29</v>
      </c>
      <c r="G17" s="4">
        <v>8</v>
      </c>
      <c r="H17" s="3">
        <v>18155</v>
      </c>
      <c r="I17" s="3">
        <v>145240</v>
      </c>
    </row>
    <row r="18" spans="1:9" x14ac:dyDescent="0.35">
      <c r="A18" s="2" t="s">
        <v>44</v>
      </c>
      <c r="B18" s="1">
        <v>45553</v>
      </c>
      <c r="C18" s="1" t="str">
        <f t="shared" si="0"/>
        <v>September</v>
      </c>
      <c r="D18" s="2" t="s">
        <v>34</v>
      </c>
      <c r="E18" s="2" t="s">
        <v>10</v>
      </c>
      <c r="F18" s="2" t="s">
        <v>20</v>
      </c>
      <c r="G18" s="4">
        <v>36</v>
      </c>
      <c r="H18" s="3">
        <v>5030</v>
      </c>
      <c r="I18" s="3">
        <v>181080</v>
      </c>
    </row>
    <row r="19" spans="1:9" x14ac:dyDescent="0.35">
      <c r="A19" s="2" t="s">
        <v>45</v>
      </c>
      <c r="B19" s="1">
        <v>45554</v>
      </c>
      <c r="C19" s="1" t="str">
        <f t="shared" si="0"/>
        <v>September</v>
      </c>
      <c r="D19" s="2" t="s">
        <v>46</v>
      </c>
      <c r="E19" s="2" t="s">
        <v>25</v>
      </c>
      <c r="F19" s="2" t="s">
        <v>20</v>
      </c>
      <c r="G19" s="4">
        <v>22</v>
      </c>
      <c r="H19" s="3">
        <v>6283</v>
      </c>
      <c r="I19" s="3">
        <v>138226</v>
      </c>
    </row>
    <row r="20" spans="1:9" x14ac:dyDescent="0.35">
      <c r="A20" s="2" t="s">
        <v>47</v>
      </c>
      <c r="B20" s="1">
        <v>45555</v>
      </c>
      <c r="C20" s="1" t="str">
        <f t="shared" si="0"/>
        <v>September</v>
      </c>
      <c r="D20" s="2" t="s">
        <v>48</v>
      </c>
      <c r="E20" s="2" t="s">
        <v>13</v>
      </c>
      <c r="F20" s="2" t="s">
        <v>11</v>
      </c>
      <c r="G20" s="4">
        <v>5</v>
      </c>
      <c r="H20" s="3">
        <v>42079</v>
      </c>
      <c r="I20" s="3">
        <v>210395</v>
      </c>
    </row>
    <row r="21" spans="1:9" x14ac:dyDescent="0.35">
      <c r="A21" s="2" t="s">
        <v>49</v>
      </c>
      <c r="B21" s="1">
        <v>45556</v>
      </c>
      <c r="C21" s="1" t="str">
        <f t="shared" si="0"/>
        <v>September</v>
      </c>
      <c r="D21" s="2" t="s">
        <v>31</v>
      </c>
      <c r="E21" s="2" t="s">
        <v>19</v>
      </c>
      <c r="F21" s="2" t="s">
        <v>32</v>
      </c>
      <c r="G21" s="4">
        <v>31</v>
      </c>
      <c r="H21" s="3">
        <v>27251</v>
      </c>
      <c r="I21" s="3">
        <v>844781</v>
      </c>
    </row>
    <row r="22" spans="1:9" x14ac:dyDescent="0.35">
      <c r="A22" s="2" t="s">
        <v>50</v>
      </c>
      <c r="B22" s="1">
        <v>45557</v>
      </c>
      <c r="C22" s="1" t="str">
        <f t="shared" si="0"/>
        <v>September</v>
      </c>
      <c r="D22" s="2" t="s">
        <v>48</v>
      </c>
      <c r="E22" s="2" t="s">
        <v>19</v>
      </c>
      <c r="F22" s="2" t="s">
        <v>16</v>
      </c>
      <c r="G22" s="4">
        <v>30</v>
      </c>
      <c r="H22" s="3">
        <v>14618</v>
      </c>
      <c r="I22" s="3">
        <v>438540</v>
      </c>
    </row>
    <row r="23" spans="1:9" x14ac:dyDescent="0.35">
      <c r="A23" s="2" t="s">
        <v>51</v>
      </c>
      <c r="B23" s="1">
        <v>45558</v>
      </c>
      <c r="C23" s="1" t="str">
        <f t="shared" si="0"/>
        <v>September</v>
      </c>
      <c r="D23" s="2" t="s">
        <v>28</v>
      </c>
      <c r="E23" s="2" t="s">
        <v>25</v>
      </c>
      <c r="F23" s="2" t="s">
        <v>29</v>
      </c>
      <c r="G23" s="4">
        <v>49</v>
      </c>
      <c r="H23" s="3">
        <v>28560</v>
      </c>
      <c r="I23" s="3">
        <v>1399440</v>
      </c>
    </row>
    <row r="24" spans="1:9" x14ac:dyDescent="0.35">
      <c r="A24" s="2" t="s">
        <v>52</v>
      </c>
      <c r="B24" s="1">
        <v>45559</v>
      </c>
      <c r="C24" s="1" t="str">
        <f t="shared" si="0"/>
        <v>September</v>
      </c>
      <c r="D24" s="2" t="s">
        <v>28</v>
      </c>
      <c r="E24" s="2" t="s">
        <v>13</v>
      </c>
      <c r="F24" s="2" t="s">
        <v>35</v>
      </c>
      <c r="G24" s="4">
        <v>12</v>
      </c>
      <c r="H24" s="3">
        <v>14620</v>
      </c>
      <c r="I24" s="3">
        <v>175440</v>
      </c>
    </row>
    <row r="25" spans="1:9" x14ac:dyDescent="0.35">
      <c r="A25" s="2" t="s">
        <v>53</v>
      </c>
      <c r="B25" s="1">
        <v>45560</v>
      </c>
      <c r="C25" s="1" t="str">
        <f t="shared" si="0"/>
        <v>September</v>
      </c>
      <c r="D25" s="2" t="s">
        <v>48</v>
      </c>
      <c r="E25" s="2" t="s">
        <v>25</v>
      </c>
      <c r="F25" s="2" t="s">
        <v>11</v>
      </c>
      <c r="G25" s="4">
        <v>45</v>
      </c>
      <c r="H25" s="3">
        <v>2654</v>
      </c>
      <c r="I25" s="3">
        <v>119430</v>
      </c>
    </row>
    <row r="26" spans="1:9" x14ac:dyDescent="0.35">
      <c r="A26" s="2" t="s">
        <v>54</v>
      </c>
      <c r="B26" s="1">
        <v>45561</v>
      </c>
      <c r="C26" s="1" t="str">
        <f t="shared" si="0"/>
        <v>September</v>
      </c>
      <c r="D26" s="2" t="s">
        <v>55</v>
      </c>
      <c r="E26" s="2" t="s">
        <v>10</v>
      </c>
      <c r="F26" s="2" t="s">
        <v>56</v>
      </c>
      <c r="G26" s="4">
        <v>32</v>
      </c>
      <c r="H26" s="3">
        <v>9856</v>
      </c>
      <c r="I26" s="3">
        <v>315392</v>
      </c>
    </row>
    <row r="27" spans="1:9" x14ac:dyDescent="0.35">
      <c r="A27" s="2" t="s">
        <v>57</v>
      </c>
      <c r="B27" s="1">
        <v>45562</v>
      </c>
      <c r="C27" s="1" t="str">
        <f t="shared" si="0"/>
        <v>September</v>
      </c>
      <c r="D27" s="2" t="s">
        <v>55</v>
      </c>
      <c r="E27" s="2" t="s">
        <v>19</v>
      </c>
      <c r="F27" s="2" t="s">
        <v>32</v>
      </c>
      <c r="G27" s="4">
        <v>47</v>
      </c>
      <c r="H27" s="3">
        <v>24276</v>
      </c>
      <c r="I27" s="3">
        <v>1140972</v>
      </c>
    </row>
    <row r="28" spans="1:9" x14ac:dyDescent="0.35">
      <c r="A28" s="2" t="s">
        <v>58</v>
      </c>
      <c r="B28" s="1">
        <v>45563</v>
      </c>
      <c r="C28" s="1" t="str">
        <f t="shared" si="0"/>
        <v>September</v>
      </c>
      <c r="D28" s="2" t="s">
        <v>55</v>
      </c>
      <c r="E28" s="2" t="s">
        <v>13</v>
      </c>
      <c r="F28" s="2" t="s">
        <v>32</v>
      </c>
      <c r="G28" s="4">
        <v>23</v>
      </c>
      <c r="H28" s="3">
        <v>22099</v>
      </c>
      <c r="I28" s="3">
        <v>508277</v>
      </c>
    </row>
    <row r="29" spans="1:9" x14ac:dyDescent="0.35">
      <c r="A29" s="2" t="s">
        <v>59</v>
      </c>
      <c r="B29" s="1">
        <v>45564</v>
      </c>
      <c r="C29" s="1" t="str">
        <f t="shared" si="0"/>
        <v>September</v>
      </c>
      <c r="D29" s="2" t="s">
        <v>18</v>
      </c>
      <c r="E29" s="2" t="s">
        <v>25</v>
      </c>
      <c r="F29" s="2" t="s">
        <v>16</v>
      </c>
      <c r="G29" s="4">
        <v>4</v>
      </c>
      <c r="H29" s="3">
        <v>5631</v>
      </c>
      <c r="I29" s="3">
        <v>22524</v>
      </c>
    </row>
    <row r="30" spans="1:9" x14ac:dyDescent="0.35">
      <c r="A30" s="2" t="s">
        <v>60</v>
      </c>
      <c r="B30" s="1">
        <v>45565</v>
      </c>
      <c r="C30" s="1" t="str">
        <f t="shared" si="0"/>
        <v>September</v>
      </c>
      <c r="D30" s="2" t="s">
        <v>28</v>
      </c>
      <c r="E30" s="2" t="s">
        <v>10</v>
      </c>
      <c r="F30" s="2" t="s">
        <v>29</v>
      </c>
      <c r="G30" s="4">
        <v>45</v>
      </c>
      <c r="H30" s="3">
        <v>8462</v>
      </c>
      <c r="I30" s="3">
        <v>380790</v>
      </c>
    </row>
    <row r="31" spans="1:9" x14ac:dyDescent="0.35">
      <c r="A31" s="2" t="s">
        <v>61</v>
      </c>
      <c r="B31" s="1">
        <v>45566</v>
      </c>
      <c r="C31" s="1" t="str">
        <f t="shared" si="0"/>
        <v>October</v>
      </c>
      <c r="D31" s="2" t="s">
        <v>34</v>
      </c>
      <c r="E31" s="2" t="s">
        <v>13</v>
      </c>
      <c r="F31" s="2" t="s">
        <v>29</v>
      </c>
      <c r="G31" s="4">
        <v>43</v>
      </c>
      <c r="H31" s="3">
        <v>36394</v>
      </c>
      <c r="I31" s="3">
        <v>1564942</v>
      </c>
    </row>
    <row r="32" spans="1:9" x14ac:dyDescent="0.35">
      <c r="A32" s="2" t="s">
        <v>62</v>
      </c>
      <c r="B32" s="1">
        <v>45567</v>
      </c>
      <c r="C32" s="1" t="str">
        <f t="shared" si="0"/>
        <v>October</v>
      </c>
      <c r="D32" s="2" t="s">
        <v>28</v>
      </c>
      <c r="E32" s="2" t="s">
        <v>25</v>
      </c>
      <c r="F32" s="2" t="s">
        <v>38</v>
      </c>
      <c r="G32" s="4">
        <v>44</v>
      </c>
      <c r="H32" s="3">
        <v>21636</v>
      </c>
      <c r="I32" s="3">
        <v>951984</v>
      </c>
    </row>
    <row r="33" spans="1:9" x14ac:dyDescent="0.35">
      <c r="A33" s="2" t="s">
        <v>63</v>
      </c>
      <c r="B33" s="1">
        <v>45568</v>
      </c>
      <c r="C33" s="1" t="str">
        <f t="shared" si="0"/>
        <v>October</v>
      </c>
      <c r="D33" s="2" t="s">
        <v>31</v>
      </c>
      <c r="E33" s="2" t="s">
        <v>10</v>
      </c>
      <c r="F33" s="2" t="s">
        <v>26</v>
      </c>
      <c r="G33" s="4">
        <v>31</v>
      </c>
      <c r="H33" s="3">
        <v>41069</v>
      </c>
      <c r="I33" s="3">
        <v>1273139</v>
      </c>
    </row>
    <row r="34" spans="1:9" x14ac:dyDescent="0.35">
      <c r="A34" s="2" t="s">
        <v>64</v>
      </c>
      <c r="B34" s="1">
        <v>45569</v>
      </c>
      <c r="C34" s="1" t="str">
        <f t="shared" si="0"/>
        <v>October</v>
      </c>
      <c r="D34" s="2" t="s">
        <v>34</v>
      </c>
      <c r="E34" s="2" t="s">
        <v>13</v>
      </c>
      <c r="F34" s="2" t="s">
        <v>26</v>
      </c>
      <c r="G34" s="4">
        <v>20</v>
      </c>
      <c r="H34" s="3">
        <v>27511</v>
      </c>
      <c r="I34" s="3">
        <v>550220</v>
      </c>
    </row>
    <row r="35" spans="1:9" x14ac:dyDescent="0.35">
      <c r="A35" s="2" t="s">
        <v>65</v>
      </c>
      <c r="B35" s="1">
        <v>45570</v>
      </c>
      <c r="C35" s="1" t="str">
        <f t="shared" si="0"/>
        <v>October</v>
      </c>
      <c r="D35" s="2" t="s">
        <v>28</v>
      </c>
      <c r="E35" s="2" t="s">
        <v>10</v>
      </c>
      <c r="F35" s="2" t="s">
        <v>29</v>
      </c>
      <c r="G35" s="4">
        <v>48</v>
      </c>
      <c r="H35" s="3">
        <v>16870</v>
      </c>
      <c r="I35" s="3">
        <v>809760</v>
      </c>
    </row>
    <row r="36" spans="1:9" x14ac:dyDescent="0.35">
      <c r="A36" s="2" t="s">
        <v>66</v>
      </c>
      <c r="B36" s="1">
        <v>45571</v>
      </c>
      <c r="C36" s="1" t="str">
        <f t="shared" si="0"/>
        <v>October</v>
      </c>
      <c r="D36" s="2" t="s">
        <v>15</v>
      </c>
      <c r="E36" s="2" t="s">
        <v>13</v>
      </c>
      <c r="F36" s="2" t="s">
        <v>32</v>
      </c>
      <c r="G36" s="4">
        <v>39</v>
      </c>
      <c r="H36" s="3">
        <v>6519</v>
      </c>
      <c r="I36" s="3">
        <v>254241</v>
      </c>
    </row>
    <row r="37" spans="1:9" x14ac:dyDescent="0.35">
      <c r="A37" s="2" t="s">
        <v>67</v>
      </c>
      <c r="B37" s="1">
        <v>45572</v>
      </c>
      <c r="C37" s="1" t="str">
        <f t="shared" si="0"/>
        <v>October</v>
      </c>
      <c r="D37" s="2" t="s">
        <v>46</v>
      </c>
      <c r="E37" s="2" t="s">
        <v>13</v>
      </c>
      <c r="F37" s="2" t="s">
        <v>32</v>
      </c>
      <c r="G37" s="4">
        <v>31</v>
      </c>
      <c r="H37" s="3">
        <v>31327</v>
      </c>
      <c r="I37" s="3">
        <v>971137</v>
      </c>
    </row>
    <row r="38" spans="1:9" x14ac:dyDescent="0.35">
      <c r="A38" s="2" t="s">
        <v>68</v>
      </c>
      <c r="B38" s="1">
        <v>45573</v>
      </c>
      <c r="C38" s="1" t="str">
        <f t="shared" si="0"/>
        <v>October</v>
      </c>
      <c r="D38" s="2" t="s">
        <v>15</v>
      </c>
      <c r="E38" s="2" t="s">
        <v>10</v>
      </c>
      <c r="F38" s="2" t="s">
        <v>26</v>
      </c>
      <c r="G38" s="4">
        <v>43</v>
      </c>
      <c r="H38" s="3">
        <v>33171</v>
      </c>
      <c r="I38" s="3">
        <v>1426353</v>
      </c>
    </row>
    <row r="39" spans="1:9" x14ac:dyDescent="0.35">
      <c r="A39" s="2" t="s">
        <v>69</v>
      </c>
      <c r="B39" s="1">
        <v>45574</v>
      </c>
      <c r="C39" s="1" t="str">
        <f t="shared" si="0"/>
        <v>October</v>
      </c>
      <c r="D39" s="2" t="s">
        <v>55</v>
      </c>
      <c r="E39" s="2" t="s">
        <v>10</v>
      </c>
      <c r="F39" s="2" t="s">
        <v>26</v>
      </c>
      <c r="G39" s="4">
        <v>6</v>
      </c>
      <c r="H39" s="3">
        <v>3911</v>
      </c>
      <c r="I39" s="3">
        <v>23466</v>
      </c>
    </row>
    <row r="40" spans="1:9" x14ac:dyDescent="0.35">
      <c r="A40" s="2" t="s">
        <v>70</v>
      </c>
      <c r="B40" s="1">
        <v>45575</v>
      </c>
      <c r="C40" s="1" t="str">
        <f t="shared" si="0"/>
        <v>October</v>
      </c>
      <c r="D40" s="2" t="s">
        <v>55</v>
      </c>
      <c r="E40" s="2" t="s">
        <v>10</v>
      </c>
      <c r="F40" s="2" t="s">
        <v>20</v>
      </c>
      <c r="G40" s="4">
        <v>3</v>
      </c>
      <c r="H40" s="3">
        <v>42214</v>
      </c>
      <c r="I40" s="3">
        <v>126642</v>
      </c>
    </row>
    <row r="41" spans="1:9" x14ac:dyDescent="0.35">
      <c r="A41" s="2" t="s">
        <v>71</v>
      </c>
      <c r="B41" s="1">
        <v>45576</v>
      </c>
      <c r="C41" s="1" t="str">
        <f t="shared" si="0"/>
        <v>October</v>
      </c>
      <c r="D41" s="2" t="s">
        <v>34</v>
      </c>
      <c r="E41" s="2" t="s">
        <v>19</v>
      </c>
      <c r="F41" s="2" t="s">
        <v>26</v>
      </c>
      <c r="G41" s="4">
        <v>25</v>
      </c>
      <c r="H41" s="3">
        <v>38308</v>
      </c>
      <c r="I41" s="3">
        <v>957700</v>
      </c>
    </row>
    <row r="42" spans="1:9" x14ac:dyDescent="0.35">
      <c r="A42" s="2" t="s">
        <v>72</v>
      </c>
      <c r="B42" s="1">
        <v>45577</v>
      </c>
      <c r="C42" s="1" t="str">
        <f t="shared" si="0"/>
        <v>October</v>
      </c>
      <c r="D42" s="2" t="s">
        <v>24</v>
      </c>
      <c r="E42" s="2" t="s">
        <v>19</v>
      </c>
      <c r="F42" s="2" t="s">
        <v>32</v>
      </c>
      <c r="G42" s="4">
        <v>26</v>
      </c>
      <c r="H42" s="3">
        <v>41969</v>
      </c>
      <c r="I42" s="3">
        <v>1091194</v>
      </c>
    </row>
    <row r="43" spans="1:9" x14ac:dyDescent="0.35">
      <c r="A43" s="2" t="s">
        <v>73</v>
      </c>
      <c r="B43" s="1">
        <v>45578</v>
      </c>
      <c r="C43" s="1" t="str">
        <f t="shared" si="0"/>
        <v>October</v>
      </c>
      <c r="D43" s="2" t="s">
        <v>15</v>
      </c>
      <c r="E43" s="2" t="s">
        <v>25</v>
      </c>
      <c r="F43" s="2" t="s">
        <v>22</v>
      </c>
      <c r="G43" s="4">
        <v>49</v>
      </c>
      <c r="H43" s="3">
        <v>42459</v>
      </c>
      <c r="I43" s="3">
        <v>2080491</v>
      </c>
    </row>
    <row r="44" spans="1:9" x14ac:dyDescent="0.35">
      <c r="A44" s="2" t="s">
        <v>74</v>
      </c>
      <c r="B44" s="1">
        <v>45579</v>
      </c>
      <c r="C44" s="1" t="str">
        <f t="shared" si="0"/>
        <v>October</v>
      </c>
      <c r="D44" s="2" t="s">
        <v>55</v>
      </c>
      <c r="E44" s="2" t="s">
        <v>19</v>
      </c>
      <c r="F44" s="2" t="s">
        <v>11</v>
      </c>
      <c r="G44" s="4">
        <v>23</v>
      </c>
      <c r="H44" s="3">
        <v>3740</v>
      </c>
      <c r="I44" s="3">
        <v>86020</v>
      </c>
    </row>
    <row r="45" spans="1:9" x14ac:dyDescent="0.35">
      <c r="A45" s="2" t="s">
        <v>75</v>
      </c>
      <c r="B45" s="1">
        <v>45580</v>
      </c>
      <c r="C45" s="1" t="str">
        <f t="shared" si="0"/>
        <v>October</v>
      </c>
      <c r="D45" s="2" t="s">
        <v>15</v>
      </c>
      <c r="E45" s="2" t="s">
        <v>10</v>
      </c>
      <c r="F45" s="2" t="s">
        <v>22</v>
      </c>
      <c r="G45" s="4">
        <v>8</v>
      </c>
      <c r="H45" s="3">
        <v>3051</v>
      </c>
      <c r="I45" s="3">
        <v>24408</v>
      </c>
    </row>
    <row r="46" spans="1:9" x14ac:dyDescent="0.35">
      <c r="A46" s="2" t="s">
        <v>76</v>
      </c>
      <c r="B46" s="1">
        <v>45581</v>
      </c>
      <c r="C46" s="1" t="str">
        <f t="shared" si="0"/>
        <v>October</v>
      </c>
      <c r="D46" s="2" t="s">
        <v>34</v>
      </c>
      <c r="E46" s="2" t="s">
        <v>10</v>
      </c>
      <c r="F46" s="2" t="s">
        <v>29</v>
      </c>
      <c r="G46" s="4">
        <v>14</v>
      </c>
      <c r="H46" s="3">
        <v>23695</v>
      </c>
      <c r="I46" s="3">
        <v>331730</v>
      </c>
    </row>
    <row r="47" spans="1:9" x14ac:dyDescent="0.35">
      <c r="A47" s="2" t="s">
        <v>77</v>
      </c>
      <c r="B47" s="1">
        <v>45582</v>
      </c>
      <c r="C47" s="1" t="str">
        <f t="shared" si="0"/>
        <v>October</v>
      </c>
      <c r="D47" s="2" t="s">
        <v>34</v>
      </c>
      <c r="E47" s="2" t="s">
        <v>10</v>
      </c>
      <c r="F47" s="2" t="s">
        <v>16</v>
      </c>
      <c r="G47" s="4">
        <v>11</v>
      </c>
      <c r="H47" s="3">
        <v>40155</v>
      </c>
      <c r="I47" s="3">
        <v>441705</v>
      </c>
    </row>
    <row r="48" spans="1:9" x14ac:dyDescent="0.35">
      <c r="A48" s="2" t="s">
        <v>78</v>
      </c>
      <c r="B48" s="1">
        <v>45583</v>
      </c>
      <c r="C48" s="1" t="str">
        <f t="shared" si="0"/>
        <v>October</v>
      </c>
      <c r="D48" s="2" t="s">
        <v>18</v>
      </c>
      <c r="E48" s="2" t="s">
        <v>13</v>
      </c>
      <c r="F48" s="2" t="s">
        <v>29</v>
      </c>
      <c r="G48" s="4">
        <v>37</v>
      </c>
      <c r="H48" s="3">
        <v>42021</v>
      </c>
      <c r="I48" s="3">
        <v>1554777</v>
      </c>
    </row>
    <row r="49" spans="1:9" x14ac:dyDescent="0.35">
      <c r="A49" s="2" t="s">
        <v>79</v>
      </c>
      <c r="B49" s="1">
        <v>45584</v>
      </c>
      <c r="C49" s="1" t="str">
        <f t="shared" si="0"/>
        <v>October</v>
      </c>
      <c r="D49" s="2" t="s">
        <v>34</v>
      </c>
      <c r="E49" s="2" t="s">
        <v>10</v>
      </c>
      <c r="F49" s="2" t="s">
        <v>29</v>
      </c>
      <c r="G49" s="4">
        <v>22</v>
      </c>
      <c r="H49" s="3">
        <v>35143</v>
      </c>
      <c r="I49" s="3">
        <v>773146</v>
      </c>
    </row>
    <row r="50" spans="1:9" x14ac:dyDescent="0.35">
      <c r="A50" s="2" t="s">
        <v>80</v>
      </c>
      <c r="B50" s="1">
        <v>45585</v>
      </c>
      <c r="C50" s="1" t="str">
        <f t="shared" si="0"/>
        <v>October</v>
      </c>
      <c r="D50" s="2" t="s">
        <v>46</v>
      </c>
      <c r="E50" s="2" t="s">
        <v>10</v>
      </c>
      <c r="F50" s="2" t="s">
        <v>16</v>
      </c>
      <c r="G50" s="4">
        <v>40</v>
      </c>
      <c r="H50" s="3">
        <v>5836</v>
      </c>
      <c r="I50" s="3">
        <v>233440</v>
      </c>
    </row>
    <row r="51" spans="1:9" x14ac:dyDescent="0.35">
      <c r="A51" s="2" t="s">
        <v>81</v>
      </c>
      <c r="B51" s="1">
        <v>45586</v>
      </c>
      <c r="C51" s="1" t="str">
        <f t="shared" si="0"/>
        <v>October</v>
      </c>
      <c r="D51" s="2" t="s">
        <v>15</v>
      </c>
      <c r="E51" s="2" t="s">
        <v>13</v>
      </c>
      <c r="F51" s="2" t="s">
        <v>56</v>
      </c>
      <c r="G51" s="4">
        <v>42</v>
      </c>
      <c r="H51" s="3">
        <v>36897</v>
      </c>
      <c r="I51" s="3">
        <v>1549674</v>
      </c>
    </row>
    <row r="52" spans="1:9" x14ac:dyDescent="0.35">
      <c r="A52" s="2" t="s">
        <v>82</v>
      </c>
      <c r="B52" s="1">
        <v>45587</v>
      </c>
      <c r="C52" s="1" t="str">
        <f t="shared" si="0"/>
        <v>October</v>
      </c>
      <c r="D52" s="2" t="s">
        <v>28</v>
      </c>
      <c r="E52" s="2" t="s">
        <v>10</v>
      </c>
      <c r="F52" s="2" t="s">
        <v>22</v>
      </c>
      <c r="G52" s="4">
        <v>16</v>
      </c>
      <c r="H52" s="3">
        <v>23205</v>
      </c>
      <c r="I52" s="3">
        <v>371280</v>
      </c>
    </row>
    <row r="53" spans="1:9" x14ac:dyDescent="0.35">
      <c r="A53" s="2" t="s">
        <v>83</v>
      </c>
      <c r="B53" s="1">
        <v>45588</v>
      </c>
      <c r="C53" s="1" t="str">
        <f t="shared" si="0"/>
        <v>October</v>
      </c>
      <c r="D53" s="2" t="s">
        <v>18</v>
      </c>
      <c r="E53" s="2" t="s">
        <v>25</v>
      </c>
      <c r="F53" s="2" t="s">
        <v>38</v>
      </c>
      <c r="G53" s="4">
        <v>4</v>
      </c>
      <c r="H53" s="3">
        <v>8248</v>
      </c>
      <c r="I53" s="3">
        <v>32992</v>
      </c>
    </row>
    <row r="54" spans="1:9" x14ac:dyDescent="0.35">
      <c r="A54" s="2" t="s">
        <v>84</v>
      </c>
      <c r="B54" s="1">
        <v>45589</v>
      </c>
      <c r="C54" s="1" t="str">
        <f t="shared" si="0"/>
        <v>October</v>
      </c>
      <c r="D54" s="2" t="s">
        <v>48</v>
      </c>
      <c r="E54" s="2" t="s">
        <v>10</v>
      </c>
      <c r="F54" s="2" t="s">
        <v>26</v>
      </c>
      <c r="G54" s="4">
        <v>32</v>
      </c>
      <c r="H54" s="3">
        <v>46495</v>
      </c>
      <c r="I54" s="3">
        <v>1487840</v>
      </c>
    </row>
    <row r="55" spans="1:9" x14ac:dyDescent="0.35">
      <c r="A55" s="2" t="s">
        <v>85</v>
      </c>
      <c r="B55" s="1">
        <v>45590</v>
      </c>
      <c r="C55" s="1" t="str">
        <f t="shared" si="0"/>
        <v>October</v>
      </c>
      <c r="D55" s="2" t="s">
        <v>28</v>
      </c>
      <c r="E55" s="2" t="s">
        <v>25</v>
      </c>
      <c r="F55" s="2" t="s">
        <v>56</v>
      </c>
      <c r="G55" s="4">
        <v>9</v>
      </c>
      <c r="H55" s="3">
        <v>23048</v>
      </c>
      <c r="I55" s="3">
        <v>207432</v>
      </c>
    </row>
    <row r="56" spans="1:9" x14ac:dyDescent="0.35">
      <c r="A56" s="2" t="s">
        <v>86</v>
      </c>
      <c r="B56" s="1">
        <v>45591</v>
      </c>
      <c r="C56" s="1" t="str">
        <f t="shared" si="0"/>
        <v>October</v>
      </c>
      <c r="D56" s="2" t="s">
        <v>15</v>
      </c>
      <c r="E56" s="2" t="s">
        <v>19</v>
      </c>
      <c r="F56" s="2" t="s">
        <v>38</v>
      </c>
      <c r="G56" s="4">
        <v>24</v>
      </c>
      <c r="H56" s="3">
        <v>37760</v>
      </c>
      <c r="I56" s="3">
        <v>906240</v>
      </c>
    </row>
    <row r="57" spans="1:9" x14ac:dyDescent="0.35">
      <c r="A57" s="2" t="s">
        <v>87</v>
      </c>
      <c r="B57" s="1">
        <v>45592</v>
      </c>
      <c r="C57" s="1" t="str">
        <f t="shared" si="0"/>
        <v>October</v>
      </c>
      <c r="D57" s="2" t="s">
        <v>31</v>
      </c>
      <c r="E57" s="2" t="s">
        <v>10</v>
      </c>
      <c r="F57" s="2" t="s">
        <v>56</v>
      </c>
      <c r="G57" s="4">
        <v>24</v>
      </c>
      <c r="H57" s="3">
        <v>26203</v>
      </c>
      <c r="I57" s="3">
        <v>628872</v>
      </c>
    </row>
    <row r="58" spans="1:9" x14ac:dyDescent="0.35">
      <c r="A58" s="2" t="s">
        <v>88</v>
      </c>
      <c r="B58" s="1">
        <v>45593</v>
      </c>
      <c r="C58" s="1" t="str">
        <f t="shared" si="0"/>
        <v>October</v>
      </c>
      <c r="D58" s="2" t="s">
        <v>24</v>
      </c>
      <c r="E58" s="2" t="s">
        <v>13</v>
      </c>
      <c r="F58" s="2" t="s">
        <v>26</v>
      </c>
      <c r="G58" s="4">
        <v>10</v>
      </c>
      <c r="H58" s="3">
        <v>26971</v>
      </c>
      <c r="I58" s="3">
        <v>269710</v>
      </c>
    </row>
    <row r="59" spans="1:9" x14ac:dyDescent="0.35">
      <c r="A59" s="2" t="s">
        <v>89</v>
      </c>
      <c r="B59" s="1">
        <v>45594</v>
      </c>
      <c r="C59" s="1" t="str">
        <f t="shared" si="0"/>
        <v>October</v>
      </c>
      <c r="D59" s="2" t="s">
        <v>46</v>
      </c>
      <c r="E59" s="2" t="s">
        <v>19</v>
      </c>
      <c r="F59" s="2" t="s">
        <v>26</v>
      </c>
      <c r="G59" s="4">
        <v>11</v>
      </c>
      <c r="H59" s="3">
        <v>10932</v>
      </c>
      <c r="I59" s="3">
        <v>120252</v>
      </c>
    </row>
    <row r="60" spans="1:9" x14ac:dyDescent="0.35">
      <c r="A60" s="2" t="s">
        <v>90</v>
      </c>
      <c r="B60" s="1">
        <v>45595</v>
      </c>
      <c r="C60" s="1" t="str">
        <f t="shared" si="0"/>
        <v>October</v>
      </c>
      <c r="D60" s="2" t="s">
        <v>46</v>
      </c>
      <c r="E60" s="2" t="s">
        <v>25</v>
      </c>
      <c r="F60" s="2" t="s">
        <v>20</v>
      </c>
      <c r="G60" s="4">
        <v>10</v>
      </c>
      <c r="H60" s="3">
        <v>13150</v>
      </c>
      <c r="I60" s="3">
        <v>131500</v>
      </c>
    </row>
    <row r="61" spans="1:9" x14ac:dyDescent="0.35">
      <c r="A61" s="2" t="s">
        <v>91</v>
      </c>
      <c r="B61" s="1">
        <v>45596</v>
      </c>
      <c r="C61" s="1" t="str">
        <f t="shared" si="0"/>
        <v>October</v>
      </c>
      <c r="D61" s="2" t="s">
        <v>24</v>
      </c>
      <c r="E61" s="2" t="s">
        <v>13</v>
      </c>
      <c r="F61" s="2" t="s">
        <v>38</v>
      </c>
      <c r="G61" s="4">
        <v>31</v>
      </c>
      <c r="H61" s="3">
        <v>41924</v>
      </c>
      <c r="I61" s="3">
        <v>1299644</v>
      </c>
    </row>
    <row r="62" spans="1:9" x14ac:dyDescent="0.35">
      <c r="A62" s="2" t="s">
        <v>92</v>
      </c>
      <c r="B62" s="1">
        <v>45597</v>
      </c>
      <c r="C62" s="1" t="str">
        <f t="shared" si="0"/>
        <v>November</v>
      </c>
      <c r="D62" s="2" t="s">
        <v>24</v>
      </c>
      <c r="E62" s="2" t="s">
        <v>13</v>
      </c>
      <c r="F62" s="2" t="s">
        <v>26</v>
      </c>
      <c r="G62" s="4">
        <v>16</v>
      </c>
      <c r="H62" s="3">
        <v>6024</v>
      </c>
      <c r="I62" s="3">
        <v>96384</v>
      </c>
    </row>
    <row r="63" spans="1:9" x14ac:dyDescent="0.35">
      <c r="A63" s="2" t="s">
        <v>93</v>
      </c>
      <c r="B63" s="1">
        <v>45598</v>
      </c>
      <c r="C63" s="1" t="str">
        <f t="shared" si="0"/>
        <v>November</v>
      </c>
      <c r="D63" s="2" t="s">
        <v>9</v>
      </c>
      <c r="E63" s="2" t="s">
        <v>13</v>
      </c>
      <c r="F63" s="2" t="s">
        <v>20</v>
      </c>
      <c r="G63" s="4">
        <v>36</v>
      </c>
      <c r="H63" s="3">
        <v>6213</v>
      </c>
      <c r="I63" s="3">
        <v>223668</v>
      </c>
    </row>
    <row r="64" spans="1:9" x14ac:dyDescent="0.35">
      <c r="A64" s="2" t="s">
        <v>94</v>
      </c>
      <c r="B64" s="1">
        <v>45599</v>
      </c>
      <c r="C64" s="1" t="str">
        <f t="shared" si="0"/>
        <v>November</v>
      </c>
      <c r="D64" s="2" t="s">
        <v>31</v>
      </c>
      <c r="E64" s="2" t="s">
        <v>19</v>
      </c>
      <c r="F64" s="2" t="s">
        <v>16</v>
      </c>
      <c r="G64" s="4">
        <v>10</v>
      </c>
      <c r="H64" s="3">
        <v>6676</v>
      </c>
      <c r="I64" s="3">
        <v>66760</v>
      </c>
    </row>
    <row r="65" spans="1:9" x14ac:dyDescent="0.35">
      <c r="A65" s="2" t="s">
        <v>95</v>
      </c>
      <c r="B65" s="1">
        <v>45600</v>
      </c>
      <c r="C65" s="1" t="str">
        <f t="shared" si="0"/>
        <v>November</v>
      </c>
      <c r="D65" s="2" t="s">
        <v>18</v>
      </c>
      <c r="E65" s="2" t="s">
        <v>19</v>
      </c>
      <c r="F65" s="2" t="s">
        <v>56</v>
      </c>
      <c r="G65" s="4">
        <v>11</v>
      </c>
      <c r="H65" s="3">
        <v>42571</v>
      </c>
      <c r="I65" s="3">
        <v>468281</v>
      </c>
    </row>
    <row r="66" spans="1:9" x14ac:dyDescent="0.35">
      <c r="A66" s="2" t="s">
        <v>96</v>
      </c>
      <c r="B66" s="1">
        <v>45601</v>
      </c>
      <c r="C66" s="1" t="str">
        <f t="shared" si="0"/>
        <v>November</v>
      </c>
      <c r="D66" s="2" t="s">
        <v>28</v>
      </c>
      <c r="E66" s="2" t="s">
        <v>13</v>
      </c>
      <c r="F66" s="2" t="s">
        <v>16</v>
      </c>
      <c r="G66" s="4">
        <v>47</v>
      </c>
      <c r="H66" s="3">
        <v>29933</v>
      </c>
      <c r="I66" s="3">
        <v>1406851</v>
      </c>
    </row>
    <row r="67" spans="1:9" x14ac:dyDescent="0.35">
      <c r="A67" s="2" t="s">
        <v>97</v>
      </c>
      <c r="B67" s="1">
        <v>45602</v>
      </c>
      <c r="C67" s="1" t="str">
        <f t="shared" ref="C67:C101" si="1">TEXT(B67,"MMMM")</f>
        <v>November</v>
      </c>
      <c r="D67" s="2" t="s">
        <v>18</v>
      </c>
      <c r="E67" s="2" t="s">
        <v>25</v>
      </c>
      <c r="F67" s="2" t="s">
        <v>29</v>
      </c>
      <c r="G67" s="4">
        <v>35</v>
      </c>
      <c r="H67" s="3">
        <v>21194</v>
      </c>
      <c r="I67" s="3">
        <v>741790</v>
      </c>
    </row>
    <row r="68" spans="1:9" x14ac:dyDescent="0.35">
      <c r="A68" s="2" t="s">
        <v>98</v>
      </c>
      <c r="B68" s="1">
        <v>45603</v>
      </c>
      <c r="C68" s="1" t="str">
        <f t="shared" si="1"/>
        <v>November</v>
      </c>
      <c r="D68" s="2" t="s">
        <v>46</v>
      </c>
      <c r="E68" s="2" t="s">
        <v>10</v>
      </c>
      <c r="F68" s="2" t="s">
        <v>29</v>
      </c>
      <c r="G68" s="4">
        <v>41</v>
      </c>
      <c r="H68" s="3">
        <v>43512</v>
      </c>
      <c r="I68" s="3">
        <v>1783992</v>
      </c>
    </row>
    <row r="69" spans="1:9" x14ac:dyDescent="0.35">
      <c r="A69" s="2" t="s">
        <v>99</v>
      </c>
      <c r="B69" s="1">
        <v>45604</v>
      </c>
      <c r="C69" s="1" t="str">
        <f t="shared" si="1"/>
        <v>November</v>
      </c>
      <c r="D69" s="2" t="s">
        <v>18</v>
      </c>
      <c r="E69" s="2" t="s">
        <v>13</v>
      </c>
      <c r="F69" s="2" t="s">
        <v>26</v>
      </c>
      <c r="G69" s="4">
        <v>22</v>
      </c>
      <c r="H69" s="3">
        <v>41698</v>
      </c>
      <c r="I69" s="3">
        <v>917356</v>
      </c>
    </row>
    <row r="70" spans="1:9" x14ac:dyDescent="0.35">
      <c r="A70" s="2" t="s">
        <v>100</v>
      </c>
      <c r="B70" s="1">
        <v>45605</v>
      </c>
      <c r="C70" s="1" t="str">
        <f t="shared" si="1"/>
        <v>November</v>
      </c>
      <c r="D70" s="2" t="s">
        <v>48</v>
      </c>
      <c r="E70" s="2" t="s">
        <v>19</v>
      </c>
      <c r="F70" s="2" t="s">
        <v>29</v>
      </c>
      <c r="G70" s="4">
        <v>13</v>
      </c>
      <c r="H70" s="3">
        <v>11465</v>
      </c>
      <c r="I70" s="3">
        <v>149045</v>
      </c>
    </row>
    <row r="71" spans="1:9" x14ac:dyDescent="0.35">
      <c r="A71" s="2" t="s">
        <v>101</v>
      </c>
      <c r="B71" s="1">
        <v>45606</v>
      </c>
      <c r="C71" s="1" t="str">
        <f t="shared" si="1"/>
        <v>November</v>
      </c>
      <c r="D71" s="2" t="s">
        <v>31</v>
      </c>
      <c r="E71" s="2" t="s">
        <v>19</v>
      </c>
      <c r="F71" s="2" t="s">
        <v>29</v>
      </c>
      <c r="G71" s="4">
        <v>8</v>
      </c>
      <c r="H71" s="3">
        <v>6806</v>
      </c>
      <c r="I71" s="3">
        <v>54448</v>
      </c>
    </row>
    <row r="72" spans="1:9" x14ac:dyDescent="0.35">
      <c r="A72" s="2" t="s">
        <v>102</v>
      </c>
      <c r="B72" s="1">
        <v>45607</v>
      </c>
      <c r="C72" s="1" t="str">
        <f t="shared" si="1"/>
        <v>November</v>
      </c>
      <c r="D72" s="2" t="s">
        <v>34</v>
      </c>
      <c r="E72" s="2" t="s">
        <v>13</v>
      </c>
      <c r="F72" s="2" t="s">
        <v>16</v>
      </c>
      <c r="G72" s="4">
        <v>8</v>
      </c>
      <c r="H72" s="3">
        <v>13162</v>
      </c>
      <c r="I72" s="3">
        <v>105296</v>
      </c>
    </row>
    <row r="73" spans="1:9" x14ac:dyDescent="0.35">
      <c r="A73" s="2" t="s">
        <v>103</v>
      </c>
      <c r="B73" s="1">
        <v>45608</v>
      </c>
      <c r="C73" s="1" t="str">
        <f t="shared" si="1"/>
        <v>November</v>
      </c>
      <c r="D73" s="2" t="s">
        <v>24</v>
      </c>
      <c r="E73" s="2" t="s">
        <v>10</v>
      </c>
      <c r="F73" s="2" t="s">
        <v>32</v>
      </c>
      <c r="G73" s="4">
        <v>25</v>
      </c>
      <c r="H73" s="3">
        <v>48377</v>
      </c>
      <c r="I73" s="3">
        <v>1209425</v>
      </c>
    </row>
    <row r="74" spans="1:9" x14ac:dyDescent="0.35">
      <c r="A74" s="2" t="s">
        <v>104</v>
      </c>
      <c r="B74" s="1">
        <v>45609</v>
      </c>
      <c r="C74" s="1" t="str">
        <f t="shared" si="1"/>
        <v>November</v>
      </c>
      <c r="D74" s="2" t="s">
        <v>9</v>
      </c>
      <c r="E74" s="2" t="s">
        <v>25</v>
      </c>
      <c r="F74" s="2" t="s">
        <v>11</v>
      </c>
      <c r="G74" s="4">
        <v>45</v>
      </c>
      <c r="H74" s="3">
        <v>26093</v>
      </c>
      <c r="I74" s="3">
        <v>1174185</v>
      </c>
    </row>
    <row r="75" spans="1:9" x14ac:dyDescent="0.35">
      <c r="A75" s="2" t="s">
        <v>105</v>
      </c>
      <c r="B75" s="1">
        <v>45610</v>
      </c>
      <c r="C75" s="1" t="str">
        <f t="shared" si="1"/>
        <v>November</v>
      </c>
      <c r="D75" s="2" t="s">
        <v>46</v>
      </c>
      <c r="E75" s="2" t="s">
        <v>25</v>
      </c>
      <c r="F75" s="2" t="s">
        <v>38</v>
      </c>
      <c r="G75" s="4">
        <v>25</v>
      </c>
      <c r="H75" s="3">
        <v>30344</v>
      </c>
      <c r="I75" s="3">
        <v>758600</v>
      </c>
    </row>
    <row r="76" spans="1:9" x14ac:dyDescent="0.35">
      <c r="A76" s="2" t="s">
        <v>106</v>
      </c>
      <c r="B76" s="1">
        <v>45611</v>
      </c>
      <c r="C76" s="1" t="str">
        <f t="shared" si="1"/>
        <v>November</v>
      </c>
      <c r="D76" s="2" t="s">
        <v>31</v>
      </c>
      <c r="E76" s="2" t="s">
        <v>25</v>
      </c>
      <c r="F76" s="2" t="s">
        <v>16</v>
      </c>
      <c r="G76" s="4">
        <v>43</v>
      </c>
      <c r="H76" s="3">
        <v>16027</v>
      </c>
      <c r="I76" s="3">
        <v>689161</v>
      </c>
    </row>
    <row r="77" spans="1:9" x14ac:dyDescent="0.35">
      <c r="A77" s="2" t="s">
        <v>107</v>
      </c>
      <c r="B77" s="1">
        <v>45612</v>
      </c>
      <c r="C77" s="1" t="str">
        <f t="shared" si="1"/>
        <v>November</v>
      </c>
      <c r="D77" s="2" t="s">
        <v>34</v>
      </c>
      <c r="E77" s="2" t="s">
        <v>25</v>
      </c>
      <c r="F77" s="2" t="s">
        <v>22</v>
      </c>
      <c r="G77" s="4">
        <v>39</v>
      </c>
      <c r="H77" s="3">
        <v>6930</v>
      </c>
      <c r="I77" s="3">
        <v>270270</v>
      </c>
    </row>
    <row r="78" spans="1:9" x14ac:dyDescent="0.35">
      <c r="A78" s="2" t="s">
        <v>108</v>
      </c>
      <c r="B78" s="1">
        <v>45613</v>
      </c>
      <c r="C78" s="1" t="str">
        <f t="shared" si="1"/>
        <v>November</v>
      </c>
      <c r="D78" s="2" t="s">
        <v>48</v>
      </c>
      <c r="E78" s="2" t="s">
        <v>13</v>
      </c>
      <c r="F78" s="2" t="s">
        <v>26</v>
      </c>
      <c r="G78" s="4">
        <v>31</v>
      </c>
      <c r="H78" s="3">
        <v>22407</v>
      </c>
      <c r="I78" s="3">
        <v>694617</v>
      </c>
    </row>
    <row r="79" spans="1:9" x14ac:dyDescent="0.35">
      <c r="A79" s="2" t="s">
        <v>109</v>
      </c>
      <c r="B79" s="1">
        <v>45614</v>
      </c>
      <c r="C79" s="1" t="str">
        <f t="shared" si="1"/>
        <v>November</v>
      </c>
      <c r="D79" s="2" t="s">
        <v>48</v>
      </c>
      <c r="E79" s="2" t="s">
        <v>25</v>
      </c>
      <c r="F79" s="2" t="s">
        <v>32</v>
      </c>
      <c r="G79" s="4">
        <v>16</v>
      </c>
      <c r="H79" s="3">
        <v>45766</v>
      </c>
      <c r="I79" s="3">
        <v>732256</v>
      </c>
    </row>
    <row r="80" spans="1:9" x14ac:dyDescent="0.35">
      <c r="A80" s="2" t="s">
        <v>110</v>
      </c>
      <c r="B80" s="1">
        <v>45615</v>
      </c>
      <c r="C80" s="1" t="str">
        <f t="shared" si="1"/>
        <v>November</v>
      </c>
      <c r="D80" s="2" t="s">
        <v>55</v>
      </c>
      <c r="E80" s="2" t="s">
        <v>13</v>
      </c>
      <c r="F80" s="2" t="s">
        <v>20</v>
      </c>
      <c r="G80" s="4">
        <v>38</v>
      </c>
      <c r="H80" s="3">
        <v>38943</v>
      </c>
      <c r="I80" s="3">
        <v>1479834</v>
      </c>
    </row>
    <row r="81" spans="1:9" x14ac:dyDescent="0.35">
      <c r="A81" s="2" t="s">
        <v>111</v>
      </c>
      <c r="B81" s="1">
        <v>45616</v>
      </c>
      <c r="C81" s="1" t="str">
        <f t="shared" si="1"/>
        <v>November</v>
      </c>
      <c r="D81" s="2" t="s">
        <v>48</v>
      </c>
      <c r="E81" s="2" t="s">
        <v>10</v>
      </c>
      <c r="F81" s="2" t="s">
        <v>22</v>
      </c>
      <c r="G81" s="4">
        <v>15</v>
      </c>
      <c r="H81" s="3">
        <v>1203</v>
      </c>
      <c r="I81" s="3">
        <v>18045</v>
      </c>
    </row>
    <row r="82" spans="1:9" x14ac:dyDescent="0.35">
      <c r="A82" s="2" t="s">
        <v>112</v>
      </c>
      <c r="B82" s="1">
        <v>45617</v>
      </c>
      <c r="C82" s="1" t="str">
        <f t="shared" si="1"/>
        <v>November</v>
      </c>
      <c r="D82" s="2" t="s">
        <v>9</v>
      </c>
      <c r="E82" s="2" t="s">
        <v>10</v>
      </c>
      <c r="F82" s="2" t="s">
        <v>32</v>
      </c>
      <c r="G82" s="4">
        <v>1</v>
      </c>
      <c r="H82" s="3">
        <v>27312</v>
      </c>
      <c r="I82" s="3">
        <v>27312</v>
      </c>
    </row>
    <row r="83" spans="1:9" x14ac:dyDescent="0.35">
      <c r="A83" s="2" t="s">
        <v>113</v>
      </c>
      <c r="B83" s="1">
        <v>45618</v>
      </c>
      <c r="C83" s="1" t="str">
        <f t="shared" si="1"/>
        <v>November</v>
      </c>
      <c r="D83" s="2" t="s">
        <v>15</v>
      </c>
      <c r="E83" s="2" t="s">
        <v>13</v>
      </c>
      <c r="F83" s="2" t="s">
        <v>20</v>
      </c>
      <c r="G83" s="4">
        <v>1</v>
      </c>
      <c r="H83" s="3">
        <v>38880</v>
      </c>
      <c r="I83" s="3">
        <v>38880</v>
      </c>
    </row>
    <row r="84" spans="1:9" x14ac:dyDescent="0.35">
      <c r="A84" s="2" t="s">
        <v>114</v>
      </c>
      <c r="B84" s="1">
        <v>45619</v>
      </c>
      <c r="C84" s="1" t="str">
        <f t="shared" si="1"/>
        <v>November</v>
      </c>
      <c r="D84" s="2" t="s">
        <v>55</v>
      </c>
      <c r="E84" s="2" t="s">
        <v>10</v>
      </c>
      <c r="F84" s="2" t="s">
        <v>32</v>
      </c>
      <c r="G84" s="4">
        <v>46</v>
      </c>
      <c r="H84" s="3">
        <v>22877</v>
      </c>
      <c r="I84" s="3">
        <v>1052342</v>
      </c>
    </row>
    <row r="85" spans="1:9" x14ac:dyDescent="0.35">
      <c r="A85" s="2" t="s">
        <v>115</v>
      </c>
      <c r="B85" s="1">
        <v>45620</v>
      </c>
      <c r="C85" s="1" t="str">
        <f t="shared" si="1"/>
        <v>November</v>
      </c>
      <c r="D85" s="2" t="s">
        <v>24</v>
      </c>
      <c r="E85" s="2" t="s">
        <v>10</v>
      </c>
      <c r="F85" s="2" t="s">
        <v>16</v>
      </c>
      <c r="G85" s="4">
        <v>37</v>
      </c>
      <c r="H85" s="3">
        <v>42495</v>
      </c>
      <c r="I85" s="3">
        <v>1572315</v>
      </c>
    </row>
    <row r="86" spans="1:9" x14ac:dyDescent="0.35">
      <c r="A86" s="2" t="s">
        <v>116</v>
      </c>
      <c r="B86" s="1">
        <v>45621</v>
      </c>
      <c r="C86" s="1" t="str">
        <f t="shared" si="1"/>
        <v>November</v>
      </c>
      <c r="D86" s="2" t="s">
        <v>18</v>
      </c>
      <c r="E86" s="2" t="s">
        <v>13</v>
      </c>
      <c r="F86" s="2" t="s">
        <v>32</v>
      </c>
      <c r="G86" s="4">
        <v>3</v>
      </c>
      <c r="H86" s="3">
        <v>38816</v>
      </c>
      <c r="I86" s="3">
        <v>116448</v>
      </c>
    </row>
    <row r="87" spans="1:9" x14ac:dyDescent="0.35">
      <c r="A87" s="2" t="s">
        <v>117</v>
      </c>
      <c r="B87" s="1">
        <v>45622</v>
      </c>
      <c r="C87" s="1" t="str">
        <f t="shared" si="1"/>
        <v>November</v>
      </c>
      <c r="D87" s="2" t="s">
        <v>48</v>
      </c>
      <c r="E87" s="2" t="s">
        <v>19</v>
      </c>
      <c r="F87" s="2" t="s">
        <v>20</v>
      </c>
      <c r="G87" s="4">
        <v>32</v>
      </c>
      <c r="H87" s="3">
        <v>39031</v>
      </c>
      <c r="I87" s="3">
        <v>1248992</v>
      </c>
    </row>
    <row r="88" spans="1:9" x14ac:dyDescent="0.35">
      <c r="A88" s="2" t="s">
        <v>118</v>
      </c>
      <c r="B88" s="1">
        <v>45623</v>
      </c>
      <c r="C88" s="1" t="str">
        <f t="shared" si="1"/>
        <v>November</v>
      </c>
      <c r="D88" s="2" t="s">
        <v>24</v>
      </c>
      <c r="E88" s="2" t="s">
        <v>13</v>
      </c>
      <c r="F88" s="2" t="s">
        <v>16</v>
      </c>
      <c r="G88" s="4">
        <v>26</v>
      </c>
      <c r="H88" s="3">
        <v>3969</v>
      </c>
      <c r="I88" s="3">
        <v>103194</v>
      </c>
    </row>
    <row r="89" spans="1:9" x14ac:dyDescent="0.35">
      <c r="A89" s="2" t="s">
        <v>119</v>
      </c>
      <c r="B89" s="1">
        <v>45624</v>
      </c>
      <c r="C89" s="1" t="str">
        <f t="shared" si="1"/>
        <v>November</v>
      </c>
      <c r="D89" s="2" t="s">
        <v>28</v>
      </c>
      <c r="E89" s="2" t="s">
        <v>19</v>
      </c>
      <c r="F89" s="2" t="s">
        <v>35</v>
      </c>
      <c r="G89" s="4">
        <v>6</v>
      </c>
      <c r="H89" s="3">
        <v>38063</v>
      </c>
      <c r="I89" s="3">
        <v>228378</v>
      </c>
    </row>
    <row r="90" spans="1:9" x14ac:dyDescent="0.35">
      <c r="A90" s="2" t="s">
        <v>120</v>
      </c>
      <c r="B90" s="1">
        <v>45625</v>
      </c>
      <c r="C90" s="1" t="str">
        <f t="shared" si="1"/>
        <v>November</v>
      </c>
      <c r="D90" s="2" t="s">
        <v>9</v>
      </c>
      <c r="E90" s="2" t="s">
        <v>19</v>
      </c>
      <c r="F90" s="2" t="s">
        <v>38</v>
      </c>
      <c r="G90" s="4">
        <v>22</v>
      </c>
      <c r="H90" s="3">
        <v>29426</v>
      </c>
      <c r="I90" s="3">
        <v>647372</v>
      </c>
    </row>
    <row r="91" spans="1:9" x14ac:dyDescent="0.35">
      <c r="A91" s="2" t="s">
        <v>121</v>
      </c>
      <c r="B91" s="1">
        <v>45626</v>
      </c>
      <c r="C91" s="1" t="str">
        <f t="shared" si="1"/>
        <v>November</v>
      </c>
      <c r="D91" s="2" t="s">
        <v>48</v>
      </c>
      <c r="E91" s="2" t="s">
        <v>13</v>
      </c>
      <c r="F91" s="2" t="s">
        <v>32</v>
      </c>
      <c r="G91" s="4">
        <v>29</v>
      </c>
      <c r="H91" s="3">
        <v>30072</v>
      </c>
      <c r="I91" s="3">
        <v>872088</v>
      </c>
    </row>
    <row r="92" spans="1:9" x14ac:dyDescent="0.35">
      <c r="A92" s="2" t="s">
        <v>122</v>
      </c>
      <c r="B92" s="1">
        <v>45627</v>
      </c>
      <c r="C92" s="1" t="str">
        <f t="shared" si="1"/>
        <v>December</v>
      </c>
      <c r="D92" s="2" t="s">
        <v>34</v>
      </c>
      <c r="E92" s="2" t="s">
        <v>25</v>
      </c>
      <c r="F92" s="2" t="s">
        <v>11</v>
      </c>
      <c r="G92" s="4">
        <v>24</v>
      </c>
      <c r="H92" s="3">
        <v>23780</v>
      </c>
      <c r="I92" s="3">
        <v>570720</v>
      </c>
    </row>
    <row r="93" spans="1:9" x14ac:dyDescent="0.35">
      <c r="A93" s="2" t="s">
        <v>123</v>
      </c>
      <c r="B93" s="1">
        <v>45628</v>
      </c>
      <c r="C93" s="1" t="str">
        <f t="shared" si="1"/>
        <v>December</v>
      </c>
      <c r="D93" s="2" t="s">
        <v>24</v>
      </c>
      <c r="E93" s="2" t="s">
        <v>25</v>
      </c>
      <c r="F93" s="2" t="s">
        <v>22</v>
      </c>
      <c r="G93" s="4">
        <v>34</v>
      </c>
      <c r="H93" s="3">
        <v>20360</v>
      </c>
      <c r="I93" s="3">
        <v>692240</v>
      </c>
    </row>
    <row r="94" spans="1:9" x14ac:dyDescent="0.35">
      <c r="A94" s="2" t="s">
        <v>124</v>
      </c>
      <c r="B94" s="1">
        <v>45629</v>
      </c>
      <c r="C94" s="1" t="str">
        <f t="shared" si="1"/>
        <v>December</v>
      </c>
      <c r="D94" s="2" t="s">
        <v>55</v>
      </c>
      <c r="E94" s="2" t="s">
        <v>19</v>
      </c>
      <c r="F94" s="2" t="s">
        <v>56</v>
      </c>
      <c r="G94" s="4">
        <v>10</v>
      </c>
      <c r="H94" s="3">
        <v>26012</v>
      </c>
      <c r="I94" s="3">
        <v>260120</v>
      </c>
    </row>
    <row r="95" spans="1:9" x14ac:dyDescent="0.35">
      <c r="A95" s="2" t="s">
        <v>125</v>
      </c>
      <c r="B95" s="1">
        <v>45630</v>
      </c>
      <c r="C95" s="1" t="str">
        <f t="shared" si="1"/>
        <v>December</v>
      </c>
      <c r="D95" s="2" t="s">
        <v>9</v>
      </c>
      <c r="E95" s="2" t="s">
        <v>13</v>
      </c>
      <c r="F95" s="2" t="s">
        <v>26</v>
      </c>
      <c r="G95" s="4">
        <v>31</v>
      </c>
      <c r="H95" s="3">
        <v>48917</v>
      </c>
      <c r="I95" s="3">
        <v>1516427</v>
      </c>
    </row>
    <row r="96" spans="1:9" x14ac:dyDescent="0.35">
      <c r="A96" s="2" t="s">
        <v>126</v>
      </c>
      <c r="B96" s="1">
        <v>45631</v>
      </c>
      <c r="C96" s="1" t="str">
        <f t="shared" si="1"/>
        <v>December</v>
      </c>
      <c r="D96" s="2" t="s">
        <v>18</v>
      </c>
      <c r="E96" s="2" t="s">
        <v>10</v>
      </c>
      <c r="F96" s="2" t="s">
        <v>32</v>
      </c>
      <c r="G96" s="4">
        <v>28</v>
      </c>
      <c r="H96" s="3">
        <v>49390</v>
      </c>
      <c r="I96" s="3">
        <v>1382920</v>
      </c>
    </row>
    <row r="97" spans="1:9" x14ac:dyDescent="0.35">
      <c r="A97" s="2" t="s">
        <v>127</v>
      </c>
      <c r="B97" s="1">
        <v>45632</v>
      </c>
      <c r="C97" s="1" t="str">
        <f t="shared" si="1"/>
        <v>December</v>
      </c>
      <c r="D97" s="2" t="s">
        <v>46</v>
      </c>
      <c r="E97" s="2" t="s">
        <v>13</v>
      </c>
      <c r="F97" s="2" t="s">
        <v>26</v>
      </c>
      <c r="G97" s="4">
        <v>20</v>
      </c>
      <c r="H97" s="3">
        <v>16198</v>
      </c>
      <c r="I97" s="3">
        <v>323960</v>
      </c>
    </row>
    <row r="98" spans="1:9" x14ac:dyDescent="0.35">
      <c r="A98" s="2" t="s">
        <v>128</v>
      </c>
      <c r="B98" s="1">
        <v>45633</v>
      </c>
      <c r="C98" s="1" t="str">
        <f t="shared" si="1"/>
        <v>December</v>
      </c>
      <c r="D98" s="2" t="s">
        <v>31</v>
      </c>
      <c r="E98" s="2" t="s">
        <v>13</v>
      </c>
      <c r="F98" s="2" t="s">
        <v>29</v>
      </c>
      <c r="G98" s="4">
        <v>18</v>
      </c>
      <c r="H98" s="3">
        <v>37621</v>
      </c>
      <c r="I98" s="3">
        <v>677178</v>
      </c>
    </row>
    <row r="99" spans="1:9" x14ac:dyDescent="0.35">
      <c r="A99" s="2" t="s">
        <v>129</v>
      </c>
      <c r="B99" s="1">
        <v>45634</v>
      </c>
      <c r="C99" s="1" t="str">
        <f t="shared" si="1"/>
        <v>December</v>
      </c>
      <c r="D99" s="2" t="s">
        <v>46</v>
      </c>
      <c r="E99" s="2" t="s">
        <v>13</v>
      </c>
      <c r="F99" s="2" t="s">
        <v>22</v>
      </c>
      <c r="G99" s="4">
        <v>23</v>
      </c>
      <c r="H99" s="3">
        <v>48453</v>
      </c>
      <c r="I99" s="3">
        <v>1114419</v>
      </c>
    </row>
    <row r="100" spans="1:9" x14ac:dyDescent="0.35">
      <c r="A100" s="2" t="s">
        <v>130</v>
      </c>
      <c r="B100" s="1">
        <v>45635</v>
      </c>
      <c r="C100" s="1" t="str">
        <f t="shared" si="1"/>
        <v>December</v>
      </c>
      <c r="D100" s="2" t="s">
        <v>46</v>
      </c>
      <c r="E100" s="2" t="s">
        <v>10</v>
      </c>
      <c r="F100" s="2" t="s">
        <v>11</v>
      </c>
      <c r="G100" s="4">
        <v>12</v>
      </c>
      <c r="H100" s="3">
        <v>41635</v>
      </c>
      <c r="I100" s="3">
        <v>499620</v>
      </c>
    </row>
    <row r="101" spans="1:9" x14ac:dyDescent="0.35">
      <c r="A101" s="2" t="s">
        <v>131</v>
      </c>
      <c r="B101" s="1">
        <v>45636</v>
      </c>
      <c r="C101" s="1" t="str">
        <f t="shared" si="1"/>
        <v>December</v>
      </c>
      <c r="D101" s="2" t="s">
        <v>46</v>
      </c>
      <c r="E101" s="2" t="s">
        <v>10</v>
      </c>
      <c r="F101" s="2" t="s">
        <v>20</v>
      </c>
      <c r="G101" s="4">
        <v>47</v>
      </c>
      <c r="H101" s="3">
        <v>21279</v>
      </c>
      <c r="I101" s="3">
        <v>1000113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ACB7A-E455-4910-BBDD-7D12D2384DD1}">
  <dimension ref="A1:Y1"/>
  <sheetViews>
    <sheetView showGridLines="0" tabSelected="1" zoomScale="58" workbookViewId="0">
      <selection activeCell="AG15" sqref="AG15"/>
    </sheetView>
  </sheetViews>
  <sheetFormatPr defaultRowHeight="14.5" x14ac:dyDescent="0.35"/>
  <sheetData>
    <row r="1" spans="1:25" ht="23.5" x14ac:dyDescent="0.55000000000000004">
      <c r="A1" s="8" t="s">
        <v>136</v>
      </c>
      <c r="B1" s="8"/>
      <c r="C1" s="8"/>
      <c r="D1" s="8"/>
      <c r="E1" s="8"/>
      <c r="F1" s="8"/>
      <c r="G1" s="8"/>
      <c r="H1" s="8"/>
      <c r="I1" s="8"/>
      <c r="J1" s="8"/>
      <c r="K1" s="8"/>
      <c r="L1" s="8"/>
      <c r="M1" s="8"/>
      <c r="N1" s="8"/>
      <c r="O1" s="8"/>
      <c r="P1" s="8"/>
      <c r="Q1" s="8"/>
      <c r="R1" s="8"/>
      <c r="S1" s="8"/>
      <c r="T1" s="8"/>
      <c r="U1" s="8"/>
      <c r="V1" s="8"/>
      <c r="W1" s="8"/>
      <c r="X1" s="8"/>
      <c r="Y1" s="8"/>
    </row>
  </sheetData>
  <mergeCells count="1">
    <mergeCell ref="A1:Y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71BDFA4483A746B4E1649DCA46A280" ma:contentTypeVersion="5" ma:contentTypeDescription="Create a new document." ma:contentTypeScope="" ma:versionID="57fad20afbf541dc6b9aa5ee5ce6af20">
  <xsd:schema xmlns:xsd="http://www.w3.org/2001/XMLSchema" xmlns:xs="http://www.w3.org/2001/XMLSchema" xmlns:p="http://schemas.microsoft.com/office/2006/metadata/properties" xmlns:ns3="ab2ec10a-0136-4a67-939c-9dc71e3c2a79" targetNamespace="http://schemas.microsoft.com/office/2006/metadata/properties" ma:root="true" ma:fieldsID="4ee43e99a2359e9a4df1fe13bd9cff17" ns3:_="">
    <xsd:import namespace="ab2ec10a-0136-4a67-939c-9dc71e3c2a79"/>
    <xsd:element name="properties">
      <xsd:complexType>
        <xsd:sequence>
          <xsd:element name="documentManagement">
            <xsd:complexType>
              <xsd:all>
                <xsd:element ref="ns3:_activity"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2ec10a-0136-4a67-939c-9dc71e3c2a79"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ab2ec10a-0136-4a67-939c-9dc71e3c2a79" xsi:nil="true"/>
  </documentManagement>
</p:properties>
</file>

<file path=customXml/itemProps1.xml><?xml version="1.0" encoding="utf-8"?>
<ds:datastoreItem xmlns:ds="http://schemas.openxmlformats.org/officeDocument/2006/customXml" ds:itemID="{5C5AD641-0BB4-4531-8F86-16536A2ECE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2ec10a-0136-4a67-939c-9dc71e3c2a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2BE1A8-29AA-4DF2-8D6B-CB3B1DDA258A}">
  <ds:schemaRefs>
    <ds:schemaRef ds:uri="http://schemas.microsoft.com/sharepoint/v3/contenttype/forms"/>
  </ds:schemaRefs>
</ds:datastoreItem>
</file>

<file path=customXml/itemProps3.xml><?xml version="1.0" encoding="utf-8"?>
<ds:datastoreItem xmlns:ds="http://schemas.openxmlformats.org/officeDocument/2006/customXml" ds:itemID="{496F8716-9234-4776-AA88-192452367884}">
  <ds:schemaRefs>
    <ds:schemaRef ds:uri="http://purl.org/dc/dcmitype/"/>
    <ds:schemaRef ds:uri="http://schemas.microsoft.com/office/2006/metadata/properties"/>
    <ds:schemaRef ds:uri="http://purl.org/dc/terms/"/>
    <ds:schemaRef ds:uri="http://schemas.microsoft.com/office/2006/documentManagement/types"/>
    <ds:schemaRef ds:uri="http://schemas.openxmlformats.org/package/2006/metadata/core-properties"/>
    <ds:schemaRef ds:uri="http://www.w3.org/XML/1998/namespace"/>
    <ds:schemaRef ds:uri="http://purl.org/dc/elements/1.1/"/>
    <ds:schemaRef ds:uri="ab2ec10a-0136-4a67-939c-9dc71e3c2a79"/>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Sheet4</vt:lpstr>
      <vt:lpstr>Sheet5</vt:lpstr>
      <vt:lpstr>Sheet6</vt:lpstr>
      <vt:lpstr>Sheet8</vt:lpstr>
      <vt:lpstr>Sheet1</vt:lpstr>
      <vt:lpstr>SALES DASHBOARD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SINGH MAURYA</dc:creator>
  <cp:lastModifiedBy>UTKARSH SINGH MAURYA</cp:lastModifiedBy>
  <dcterms:created xsi:type="dcterms:W3CDTF">2025-11-09T09:10:39Z</dcterms:created>
  <dcterms:modified xsi:type="dcterms:W3CDTF">2025-11-09T10:35:00Z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0x0101008171BDFA4483A746B4E1649DCA46A280</vt:lpwstr>
  </property>
</Properties>
</file>